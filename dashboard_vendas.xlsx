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A21AE87A-EE23-43F2-9B72-B338CED8E3A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shboard" sheetId="2" r:id="rId1"/>
    <sheet name="Resultados" sheetId="3" r:id="rId2"/>
    <sheet name="Queries" sheetId="4" r:id="rId3"/>
  </sheets>
  <definedNames>
    <definedName name="_xlnm._FilterDatabase" localSheetId="0" hidden="1">Resultados!$M$3:$N$3</definedName>
    <definedName name="_xlchart.v5.0" hidden="1">Resultados!$I$3:$J$3</definedName>
    <definedName name="_xlchart.v5.1" hidden="1">Resultados!$I$4:$J$8</definedName>
    <definedName name="_xlchart.v5.2" hidden="1">Resultados!$K$3</definedName>
    <definedName name="_xlchart.v5.3" hidden="1">Resultados!$K$4:$K$8</definedName>
    <definedName name="_xlchart.v5.4" hidden="1">Resultados!$I$3:$J$3</definedName>
    <definedName name="_xlchart.v5.5" hidden="1">Resultados!$I$4:$J$8</definedName>
    <definedName name="_xlchart.v5.6" hidden="1">Resultados!$K$3</definedName>
    <definedName name="_xlchart.v5.7" hidden="1">Resultados!$K$4:$K$8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9" i="3" l="1"/>
  <c r="E29" i="3" l="1"/>
  <c r="F29" i="3" l="1"/>
  <c r="G29" i="3" l="1"/>
  <c r="H29" i="3" l="1"/>
  <c r="I29" i="3" l="1"/>
  <c r="J29" i="3" l="1"/>
  <c r="K29" i="3" l="1"/>
  <c r="L29" i="3" l="1"/>
  <c r="M29" i="3" l="1"/>
  <c r="N29" i="3" l="1"/>
</calcChain>
</file>

<file path=xl/sharedStrings.xml><?xml version="1.0" encoding="utf-8"?>
<sst xmlns="http://schemas.openxmlformats.org/spreadsheetml/2006/main" count="48" uniqueCount="41">
  <si>
    <t>mês</t>
  </si>
  <si>
    <t>leads (#)</t>
  </si>
  <si>
    <t>vendas (#)</t>
  </si>
  <si>
    <t>receita (k, R$)</t>
  </si>
  <si>
    <t>conversão (%)</t>
  </si>
  <si>
    <t>ticket médio (k, R$)</t>
  </si>
  <si>
    <t>estado</t>
  </si>
  <si>
    <t>país</t>
  </si>
  <si>
    <t>marca</t>
  </si>
  <si>
    <t>loja</t>
  </si>
  <si>
    <t>dia_semana</t>
  </si>
  <si>
    <t>dia da semana</t>
  </si>
  <si>
    <t>visitas (#)</t>
  </si>
  <si>
    <t>1 - Receita, leads, conversão e ticket médio mês a mês</t>
  </si>
  <si>
    <t>2- Estados que mais venderam</t>
  </si>
  <si>
    <t>3 - Marcas que mais venderam no mês</t>
  </si>
  <si>
    <t>4 - Lojas que mais venderam</t>
  </si>
  <si>
    <t>5 - Dias da semana com maior número de visitas ao site</t>
  </si>
  <si>
    <t>Brazil</t>
  </si>
  <si>
    <t>SP</t>
  </si>
  <si>
    <t>MG</t>
  </si>
  <si>
    <t>SC</t>
  </si>
  <si>
    <t>RS</t>
  </si>
  <si>
    <t>RJ</t>
  </si>
  <si>
    <t>FIAT</t>
  </si>
  <si>
    <t>CHEVROLET</t>
  </si>
  <si>
    <t>VOLKSWAGEN</t>
  </si>
  <si>
    <t>FORD</t>
  </si>
  <si>
    <t>RENAULT</t>
  </si>
  <si>
    <t>KIYOKO CILEIDI JERY LTDA</t>
  </si>
  <si>
    <t>CLAUDINEO JOZENAIDE LUYANE LTDA</t>
  </si>
  <si>
    <t>ADO JUBERTH VALTUIDES LTDA</t>
  </si>
  <si>
    <t>GERRIVALDO ROSIELEN VALTEIDE LTDA</t>
  </si>
  <si>
    <t>NILFA CID SILVANDRO LTDA</t>
  </si>
  <si>
    <t>domingo</t>
  </si>
  <si>
    <t>segunda</t>
  </si>
  <si>
    <t>terça</t>
  </si>
  <si>
    <t>quarta</t>
  </si>
  <si>
    <t>quinta</t>
  </si>
  <si>
    <t>sexta</t>
  </si>
  <si>
    <t>sabado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</si>
</sst>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[$-416]mmm\-yy;@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9" fontId="0" fillId="2" borderId="0" xfId="0" applyNumberFormat="1" applyFill="1"/>
    <xf numFmtId="9" fontId="0" fillId="0" borderId="0" xfId="0" applyNumberFormat="1"/>
    <xf numFmtId="164" fontId="0" fillId="2" borderId="0" xfId="0" applyNumberFormat="1" applyFill="1"/>
    <xf numFmtId="164" fontId="0" fillId="0" borderId="0" xfId="0" applyNumberFormat="1"/>
    <xf numFmtId="3" fontId="0" fillId="2" borderId="0" xfId="0" applyNumberFormat="1" applyFill="1"/>
    <xf numFmtId="3" fontId="0" fillId="0" borderId="0" xfId="0" applyNumberFormat="1"/>
    <xf numFmtId="165" fontId="0" fillId="2" borderId="0" xfId="0" applyNumberFormat="1" applyFill="1"/>
    <xf numFmtId="165" fontId="0" fillId="0" borderId="0" xfId="0" applyNumberFormat="1"/>
    <xf numFmtId="17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E00"/>
      <color rgb="FF404040"/>
      <color rgb="FFC89400"/>
      <color rgb="FF1C819E"/>
      <color rgb="FF176C83"/>
      <color rgb="FFBFBFBF"/>
      <color rgb="FFA6A6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964838790962708E-2"/>
          <c:y val="0.19366649151933321"/>
          <c:w val="0.86520753223694313"/>
          <c:h val="0.638861410766545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Resultados!$C$3</c:f>
              <c:strCache>
                <c:ptCount val="1"/>
                <c:pt idx="0">
                  <c:v>leads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Resultados!$C$4:$C$15</c:f>
              <c:numCache>
                <c:formatCode>#,##0</c:formatCode>
                <c:ptCount val="12"/>
                <c:pt idx="0">
                  <c:v>26</c:v>
                </c:pt>
                <c:pt idx="1">
                  <c:v>931</c:v>
                </c:pt>
                <c:pt idx="2">
                  <c:v>1207</c:v>
                </c:pt>
                <c:pt idx="3">
                  <c:v>1008</c:v>
                </c:pt>
                <c:pt idx="4">
                  <c:v>1058</c:v>
                </c:pt>
                <c:pt idx="5">
                  <c:v>1300</c:v>
                </c:pt>
                <c:pt idx="6">
                  <c:v>1932</c:v>
                </c:pt>
                <c:pt idx="7">
                  <c:v>2376</c:v>
                </c:pt>
                <c:pt idx="8">
                  <c:v>3819</c:v>
                </c:pt>
                <c:pt idx="9">
                  <c:v>4440</c:v>
                </c:pt>
                <c:pt idx="10">
                  <c:v>6130</c:v>
                </c:pt>
                <c:pt idx="11">
                  <c:v>6353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305806031"/>
        <c:axId val="1305802703"/>
      </c:barChart>
      <c:lineChart>
        <c:grouping val="standard"/>
        <c:varyColors val="0"/>
        <c:ser>
          <c:idx val="1"/>
          <c:order val="1"/>
          <c:tx>
            <c:strRef>
              <c:f>Resultados!$F$3</c:f>
              <c:strCache>
                <c:ptCount val="1"/>
                <c:pt idx="0">
                  <c:v>conversão (%)</c:v>
                </c:pt>
              </c:strCache>
            </c:strRef>
          </c:tx>
          <c:spPr>
            <a:ln w="28575" cap="rnd">
              <a:solidFill>
                <a:srgbClr val="FFBE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Resultados!$F$4:$F$15</c:f>
              <c:numCache>
                <c:formatCode>0%</c:formatCode>
                <c:ptCount val="12"/>
                <c:pt idx="0">
                  <c:v>0.19</c:v>
                </c:pt>
                <c:pt idx="1">
                  <c:v>0.04</c:v>
                </c:pt>
                <c:pt idx="2">
                  <c:v>0.04</c:v>
                </c:pt>
                <c:pt idx="3">
                  <c:v>0.03</c:v>
                </c:pt>
                <c:pt idx="4">
                  <c:v>0.03</c:v>
                </c:pt>
                <c:pt idx="5">
                  <c:v>0.05</c:v>
                </c:pt>
                <c:pt idx="6">
                  <c:v>0.06</c:v>
                </c:pt>
                <c:pt idx="7">
                  <c:v>0.06</c:v>
                </c:pt>
                <c:pt idx="8">
                  <c:v>0.1</c:v>
                </c:pt>
                <c:pt idx="9">
                  <c:v>0.13</c:v>
                </c:pt>
                <c:pt idx="10">
                  <c:v>0.18</c:v>
                </c:pt>
                <c:pt idx="11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6420143"/>
        <c:axId val="1886418895"/>
      </c:lineChart>
      <c:dateAx>
        <c:axId val="1305806031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2703"/>
        <c:crosses val="autoZero"/>
        <c:auto val="1"/>
        <c:lblOffset val="100"/>
        <c:baseTimeUnit val="months"/>
      </c:dateAx>
      <c:valAx>
        <c:axId val="13058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6031"/>
        <c:crosses val="autoZero"/>
        <c:crossBetween val="between"/>
      </c:valAx>
      <c:valAx>
        <c:axId val="1886418895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420143"/>
        <c:crosses val="max"/>
        <c:crossBetween val="between"/>
      </c:valAx>
      <c:dateAx>
        <c:axId val="1886420143"/>
        <c:scaling>
          <c:orientation val="minMax"/>
        </c:scaling>
        <c:delete val="1"/>
        <c:axPos val="b"/>
        <c:numFmt formatCode="[$-416]mmm\-yy;@" sourceLinked="1"/>
        <c:majorTickMark val="out"/>
        <c:minorTickMark val="none"/>
        <c:tickLblPos val="nextTo"/>
        <c:crossAx val="188641889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0"/>
              <a:t>Receita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268525147658371E-2"/>
          <c:y val="0.19366644644254502"/>
          <c:w val="0.86520753223694313"/>
          <c:h val="0.638861410766545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Resultados!$E$3</c:f>
              <c:strCache>
                <c:ptCount val="1"/>
                <c:pt idx="0">
                  <c:v>receita (k, R$)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Resultados!$E$4:$E$15</c:f>
              <c:numCache>
                <c:formatCode>#,##0</c:formatCode>
                <c:ptCount val="12"/>
                <c:pt idx="0">
                  <c:v>259</c:v>
                </c:pt>
                <c:pt idx="1">
                  <c:v>1676</c:v>
                </c:pt>
                <c:pt idx="2">
                  <c:v>2279</c:v>
                </c:pt>
                <c:pt idx="3">
                  <c:v>2603</c:v>
                </c:pt>
                <c:pt idx="4">
                  <c:v>2297</c:v>
                </c:pt>
                <c:pt idx="5">
                  <c:v>3631</c:v>
                </c:pt>
                <c:pt idx="6">
                  <c:v>7911</c:v>
                </c:pt>
                <c:pt idx="7">
                  <c:v>7478</c:v>
                </c:pt>
                <c:pt idx="8">
                  <c:v>21508</c:v>
                </c:pt>
                <c:pt idx="9">
                  <c:v>33179</c:v>
                </c:pt>
                <c:pt idx="10">
                  <c:v>58988</c:v>
                </c:pt>
                <c:pt idx="11">
                  <c:v>68274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305806031"/>
        <c:axId val="1305802703"/>
      </c:barChart>
      <c:lineChart>
        <c:grouping val="standard"/>
        <c:varyColors val="0"/>
        <c:ser>
          <c:idx val="1"/>
          <c:order val="1"/>
          <c:tx>
            <c:strRef>
              <c:f>Resultados!$G$3</c:f>
              <c:strCache>
                <c:ptCount val="1"/>
                <c:pt idx="0">
                  <c:v>ticket médio (k, R$)</c:v>
                </c:pt>
              </c:strCache>
            </c:strRef>
          </c:tx>
          <c:spPr>
            <a:ln w="28575" cap="rnd">
              <a:solidFill>
                <a:srgbClr val="FFBE00">
                  <a:alpha val="95000"/>
                </a:srgbClr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Resultados!$G$3:$G$15</c:f>
              <c:numCache>
                <c:formatCode>#\ ##0.0</c:formatCode>
                <c:ptCount val="13"/>
                <c:pt idx="0">
                  <c:v>0</c:v>
                </c:pt>
                <c:pt idx="1">
                  <c:v>51.9</c:v>
                </c:pt>
                <c:pt idx="2">
                  <c:v>47.9</c:v>
                </c:pt>
                <c:pt idx="3">
                  <c:v>51.8</c:v>
                </c:pt>
                <c:pt idx="4">
                  <c:v>78.900000000000006</c:v>
                </c:pt>
                <c:pt idx="5">
                  <c:v>71.8</c:v>
                </c:pt>
                <c:pt idx="6">
                  <c:v>53.4</c:v>
                </c:pt>
                <c:pt idx="7">
                  <c:v>66.5</c:v>
                </c:pt>
                <c:pt idx="8">
                  <c:v>52.7</c:v>
                </c:pt>
                <c:pt idx="9">
                  <c:v>54.6</c:v>
                </c:pt>
                <c:pt idx="10">
                  <c:v>56.3</c:v>
                </c:pt>
                <c:pt idx="11">
                  <c:v>55</c:v>
                </c:pt>
                <c:pt idx="12">
                  <c:v>54.4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6420143"/>
        <c:axId val="1886418895"/>
      </c:lineChart>
      <c:dateAx>
        <c:axId val="1305806031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2703"/>
        <c:crosses val="autoZero"/>
        <c:auto val="1"/>
        <c:lblOffset val="100"/>
        <c:baseTimeUnit val="months"/>
      </c:dateAx>
      <c:valAx>
        <c:axId val="13058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6031"/>
        <c:crosses val="autoZero"/>
        <c:crossBetween val="between"/>
      </c:valAx>
      <c:valAx>
        <c:axId val="1886418895"/>
        <c:scaling>
          <c:orientation val="minMax"/>
        </c:scaling>
        <c:delete val="0"/>
        <c:axPos val="r"/>
        <c:numFmt formatCode="#\ ##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420143"/>
        <c:crosses val="max"/>
        <c:crossBetween val="between"/>
      </c:valAx>
      <c:dateAx>
        <c:axId val="1886420143"/>
        <c:scaling>
          <c:orientation val="minMax"/>
        </c:scaling>
        <c:delete val="1"/>
        <c:axPos val="b"/>
        <c:numFmt formatCode="[$-416]mmm\-yy;@" sourceLinked="1"/>
        <c:majorTickMark val="out"/>
        <c:minorTickMark val="none"/>
        <c:tickLblPos val="nextTo"/>
        <c:crossAx val="1886418895"/>
        <c:crosses val="autoZero"/>
        <c:auto val="1"/>
        <c:lblOffset val="100"/>
        <c:baseTimeUnit val="months"/>
      </c:dateAx>
      <c:spPr>
        <a:noFill/>
        <a:ln>
          <a:solidFill>
            <a:srgbClr val="FFBE00">
              <a:alpha val="95000"/>
            </a:srgbClr>
          </a:solidFill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marcas mais vendidas no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Resultados!$N$3</c:f>
              <c:strCache>
                <c:ptCount val="1"/>
                <c:pt idx="0">
                  <c:v>vendas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Resultados!$M$4:$M$8</c:f>
              <c:strCache>
                <c:ptCount val="5"/>
                <c:pt idx="0">
                  <c:v>FIAT</c:v>
                </c:pt>
                <c:pt idx="1">
                  <c:v>CHEVROLET</c:v>
                </c:pt>
                <c:pt idx="2">
                  <c:v>VOLKSWAGEN</c:v>
                </c:pt>
                <c:pt idx="3">
                  <c:v>FORD</c:v>
                </c:pt>
                <c:pt idx="4">
                  <c:v>RENAULT</c:v>
                </c:pt>
              </c:strCache>
            </c:strRef>
          </c:cat>
          <c:val>
            <c:numRef>
              <c:f>Resultados!$N$4:$N$8</c:f>
              <c:numCache>
                <c:formatCode>General</c:formatCode>
                <c:ptCount val="5"/>
                <c:pt idx="0">
                  <c:v>248</c:v>
                </c:pt>
                <c:pt idx="1">
                  <c:v>237</c:v>
                </c:pt>
                <c:pt idx="2">
                  <c:v>193</c:v>
                </c:pt>
                <c:pt idx="3">
                  <c:v>136</c:v>
                </c:pt>
                <c:pt idx="4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lojas que mais venderam no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Resultados!$Q$3</c:f>
              <c:strCache>
                <c:ptCount val="1"/>
                <c:pt idx="0">
                  <c:v>vendas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Resultados!$P$4:$P$8</c:f>
              <c:strCache>
                <c:ptCount val="5"/>
                <c:pt idx="0">
                  <c:v>KIYOKO CILEIDI JERY LTDA</c:v>
                </c:pt>
                <c:pt idx="1">
                  <c:v>CLAUDINEO JOZENAIDE LUYANE LTDA</c:v>
                </c:pt>
                <c:pt idx="2">
                  <c:v>ADO JUBERTH VALTUIDES LTDA</c:v>
                </c:pt>
                <c:pt idx="3">
                  <c:v>GERRIVALDO ROSIELEN VALTEIDE LTDA</c:v>
                </c:pt>
                <c:pt idx="4">
                  <c:v>NILFA CID SILVANDRO LTDA</c:v>
                </c:pt>
              </c:strCache>
            </c:strRef>
          </c:cat>
          <c:val>
            <c:numRef>
              <c:f>Resultados!$Q$4:$Q$8</c:f>
              <c:numCache>
                <c:formatCode>General</c:formatCode>
                <c:ptCount val="5"/>
                <c:pt idx="0">
                  <c:v>18</c:v>
                </c:pt>
                <c:pt idx="1">
                  <c:v>15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Visitas</a:t>
            </a:r>
            <a:r>
              <a:rPr lang="en-US" baseline="0"/>
              <a:t> ao site por dia da semana no mês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Resultados!$U$3</c:f>
              <c:strCache>
                <c:ptCount val="1"/>
                <c:pt idx="0">
                  <c:v>visitas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Resultados!$T$4:$T$10</c:f>
              <c:strCache>
                <c:ptCount val="7"/>
                <c:pt idx="0">
                  <c:v>domingo</c:v>
                </c:pt>
                <c:pt idx="1">
                  <c:v>segunda</c:v>
                </c:pt>
                <c:pt idx="2">
                  <c:v>terça</c:v>
                </c:pt>
                <c:pt idx="3">
                  <c:v>quarta</c:v>
                </c:pt>
                <c:pt idx="4">
                  <c:v>quinta</c:v>
                </c:pt>
                <c:pt idx="5">
                  <c:v>sexta</c:v>
                </c:pt>
                <c:pt idx="6">
                  <c:v>sabado</c:v>
                </c:pt>
              </c:strCache>
            </c:strRef>
          </c:cat>
          <c:val>
            <c:numRef>
              <c:f>Resultados!$U$4:$U$10</c:f>
              <c:numCache>
                <c:formatCode>General</c:formatCode>
                <c:ptCount val="7"/>
                <c:pt idx="0">
                  <c:v>67</c:v>
                </c:pt>
                <c:pt idx="1">
                  <c:v>1301</c:v>
                </c:pt>
                <c:pt idx="2">
                  <c:v>1238</c:v>
                </c:pt>
                <c:pt idx="3">
                  <c:v>1038</c:v>
                </c:pt>
                <c:pt idx="4">
                  <c:v>1076</c:v>
                </c:pt>
                <c:pt idx="5">
                  <c:v>956</c:v>
                </c:pt>
                <c:pt idx="6">
                  <c:v>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title pos="t" align="ctr" overlay="0">
      <cx:tx>
        <cx:txData>
          <cx:v>Estados que mais venderam no mês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Estados que mais venderam no mês</a:t>
          </a:r>
        </a:p>
      </cx:txPr>
    </cx:title>
    <cx:plotArea>
      <cx:plotAreaRegion>
        <cx:series layoutId="regionMap" uniqueId="{02A53EDD-DCFC-4A88-B213-71274D6215FF}">
          <cx:tx>
            <cx:txData>
              <cx:f>_xlchart.v5.6</cx:f>
              <cx:v>vendas (#)</cx:v>
            </cx:txData>
          </cx:tx>
          <cx:dataLabels>
            <cx:visibility seriesName="0" categoryName="0" value="1"/>
          </cx:dataLabels>
          <cx:dataId val="0"/>
          <cx:layoutPr>
            <cx:geography cultureLanguage="en-US" cultureRegion="BR" attribution="Powered by Bing">
              <cx:geoCache provider="{E9337A44-BEBE-4D9F-B70C-5C5E7DAFC167}">
                <cx:binary>3Hvpctw4tuarOPx7qMJKgh1d/QNccpFSW8q2pD8MWZJJcAMJ7nybiXmU+2L3ULarpLRa6uq4MxHT
7uhSZoLkAc7ynZV/vx//dp8/3pkPY5GXzd/ux98/Jm1b/e2335r75LG4a44KdW90o7+1R/e6+E1/
+6buH397MHeDKuPfCMLst/vkzrSP48d//B2eFj/qE31/1ypdXnSPZrp8bLq8bd5Ye3Xpw73uyna5
PYYn/f5RmrtZ5R8/3D0UqvRV0xp13+LfP+69jx8ey1a109VUPf7+8cX6xw+//ePvv/3TTb1K+Pt+
X136l/d0/t6eXm7pF+Z8yIF/bfcA57EIPeKUurYrBHr6hz9+yHUZ/1xn9pFNhLAFcr//Ez+Jn94V
8ID9f/0f/eH8rsv1z99fY9TTee8eHsxj0wCPn/6+vPcFY2EJzvhPRKQa7X0XnqeXI8jL1+Twi2CA
C//vRbVbvcWVRX3+gqiwe+RiYTOwiddFRY9cym24hn5fpz+JfxfVTpV3zYfVo7lTzc+Vf11YL+8+
ENdyzv8AcV1u3+LLXxQXIUcuWqwKkx+mc2BZ9Ai7tkNd8l1a6EBcl0p/eHj8sL0rH5X5N6zr8P4D
kS1n/U8Q2f5/UGQUHSHqcuICyD0HQY6PCLZdCovfZUV+Ev1uWQurV+auBHE96A/7DhzJP3car2Ph
K484FBic9P9DgT1nxIvtP6H2X4E/dESf/iHg/gvp0KPvJuTYr0rnp2//5zt5XSQ/73ux6z9Dhf87
fuif+6g/3Lh/194FTzHJaxHQq6s//czB4hta+mNp8/D7RxdT4Pgfvmp5xo/V79ofPj6AT8k//Ayb
fir/n/c+3jUtxBrMOaJIUOE43KbMsbn98cPw+H1JHBHBOXIIIpgJRsECS23aBG7D/Igj+NmljCOX
OA4AZaO772v2EeKIc0BYh3PBXfZHmHiu8ynW5R9s+/H9Q9kV51qVbfP7R0bgYNX365bdgm91XOFg
m1EGa47NYBvV/d0lxKJwOf5fbDKzaApee6PBJpYZtgdyP/YkTY6Hvh/qh6osXOcUF86qTuuTSPDV
rEmIaXNcxKSTGXdT6UyVn+c3xhlCxNAGxeK4qMew1PpyTtsTU6pgUO2XOavvzaiJtITl5Vn12Ih0
W0SJ31vFxVC5tWfHpcex8S1ihy01xo+aIawoD5E73BDbXk1R8lnN9WroxXmWzydt3GdeR2dfd+55
V/GLZCwCk7hhPxSrMqJIusY6sUeziokKi9xOpa3QI8+ifWzRdSkmIssOrVri3gw1Xk0p3hIIjGnH
9jV2TlueBnXCVo2j1iyb1iTKd10+bjBpwrSMtk6du7KxnVVJq5uElYVUPNoCZ7aa63B6HKpda1+R
zAmw5XhV9zlvHa+z9CzpbFZlncq2rb1scjzhFusihd9cdmpiM0qbZiGfuk8lSo4jM2i/051kpd9Y
g0y73mPJLUVwHLbVaeYzUUvLasJMoaC2Mg+pLiytVsbDt2n6NKed77aWZzV8E9fMNw2R2p22Dqs9
3CYbJpC0uePr+U4UiYwwlV2vN6zmF3F63ZSTT6t5M+PJa4Akw9sy7ySKLys0eGb4EqsxVFyvDIjT
OY3LSTax46XISDFF3tjvHDf3bBpkBvkFnLVz4iA1SYB6uqqIWdPe8sr6xgxbMw5B0Zx100PMiYeG
yy75nLT7KftmNW2oHRM69DZpRpmlWyu/JIlXt+56tppVZkdbuxXhaKWB7SJH6sn1knrcE6cIBEpv
IhyvoixfF7ZzMkb1ro+Zz9Jo9ByehE0kzgpbrXvDN45jf8mS6jye+eWkhrUaBg+r1FcuSLCNPkcx
9/O2PG2iZBfF7QpTvhrR2Ph9xUPciA1Y1CZXfagSeyNys2omc2qzftW5eVhl0UqRyY90WsimaEFw
6Ix0yU6NCZwqAyVF4nhwkwAY8Kki7TbTOPNmW6QypqM3DbVXkjyYJvqgRBomPCayn02A3fGkYPO6
dtHKzYpa1lGdy86lq3yMznJKtyRqVsyOvKKPY08MyXWtyC5m7jrCtZK5rtZJXiQrgoF5bp74KKaf
S9Vdx0P3hbaC+G1uaQkIcGmSQsi4coNY1McTqlY8jcD61JepJs5mdLsN7vh9nTSg3o0dTHZxR+oh
DVqTaS9tEJW50NrnOd+LdrrX3PJErvYAOo6HrOHzXNR5JZmT6kyWrOu4V8cscr64Q1/PwcAzgStP
1KS9tRQT/aqYh7Vopm7VuPW927dNYGVDFQrj5puyIr1XKPu+impLEtSnp0UtHso5uxoHkntFnVWy
a1Disy7daKtWYZazUhIrLb4S06swGtr+Mq3mq0LDgbqsPh4n00hiZlkPyWdAntDEJBhKuo7tzOfu
NeUX+nNmcj/PHNmK0k/t2XOI6iWewPR5QUPd6tDKWgDRJmjggIbl52Tow6awe7908besb9NNntFN
r+agcqLGp1ntARvW8dhvosHaDYQHyopLSVvk6dIK2OzujYWPrWloZJeyYz5Qz+Ahl5EaiY+T5sYh
epfZw061fJ021mrSo6/L+ZtLq8qz0p5IU9s+5U7YlvND2WhZcXfjunzT9eW5rWJbqrzcD0it7YFu
RGGuLBGt7DL6krduOMTFKGOcSY3WOE+91s5OG6fbxb0xXmGNBABBr5OOrXqnWs/TLCRkd/fp1J7g
uDgeifiaK3wRq2wX5/3FmLobpgsty/mG4zYP3JzagR0nZ5amudQVdYMia0fJe5PgwM2QuysNn6lv
cmvvOMWOzxXzn6fTL5zova4mo+LkR7nlj6//2P2s4Tyl2H/+vmS3f3476x9N25nHD7u7qvkQduXD
Uxnn8J4lAvrjpj+z9iXs+COFP4hjXhZV/srivxgBUYa4g94Kgs7vIP7/r//9Ivb5edfP8EccIcKF
iyhHlGHHdf4Ifzg7sjFERQIKMQ6BwAjikp/hD+SRHEOAIwRDlBJEoULzM/wh9pGDMQQ/wqUYLnCc
vxL+8CWuexH+2AgjAaGUDTUfewmFXoY/RLcJRrXV+ZZ2SCr5UPdTkOKyuLCIIVrmlm1tmD3qUda6
BE0c227MpNOK7I6NTk08axjjWua1imDRGapIgqGbKOgZamIpisYagzKz4o0dkQ55qdA1lvbUtMwr
83S6F8ZpIw8VubkxpNPYs1TT1d7AOzbJiRbojFsxPo6Hpsu8MWJRJxuEaRvEQwW+OKubOffANTUX
VBFiZNQ2ppIFmdHoFaNFlDQGsS+uXWSFjxSWSVTY1zNqEZKNxtE6tY390JKxujA4Ku4m3rLYm2KI
/bzBKOBBGufV7GXKHi/Y0M6ZxBr1EOgIqxtkzx04mkG8l5kxVQMOKmG9b4pcYzmanhtP075pPNua
1d2UVAyCzAjcppckY5OsuiFtJ5kUs3snWtpUkhRJmck8HwWWHdj1bZRNceEhbU3r2JmyXIo4HzIf
9tpcl2XRDoDerrMRcZntIzo0V0jbyvh5Ad6NaaZPKt1ayq+NYrM0ceN81UkrromIomntxk53xqMK
pG7szMXBlDrtMRqGchcPyvk8O3iO/K4g+VmTmxR5dVUOtw6r5s+smCEO6VCXng+11relq+tL1U9o
krPqG+ZhNynaWaY84610Mz1cWbZIHoAiRxuLKv4pL9NBhX0098IfuhxPYZ20OUSciKqvzjzWj3qs
FS5lrLqWBHPuFo4/0jSJ5OjWNPGIyqbGGy3dXdkEcwh6jMsHvxhI+hmTgjUblboQQkROfONMLD2u
xym6M1GilUcip6nDXDvtpV2W811p5eNNoqfOklig/lRVU3GastzUMhF1BFGGM0fg0GdbQ3QY0SiW
c6mHAqJF4XxNOG9zT7dpFPnZVOcWKJ8QJwgVWeyleJ7Poox3pzW2yXUhtH2LkctjaQ+dOUElzY4F
cytvUjlvvbkp88upGoZW1kWFHY+MbnkB9Yo6lp1VELAL8F97SGaUkixz+zCdBxz7iOkmZHPsXipu
mbWwm/ECm8pdJVFc3EWRyDsIs1HZeAj8BZPNkGixik3WX1qqbEovF6i5bdBg7EDP4zhLywyQFHXO
TJnMynSKQqax2Q00Hu5FLZpI9ilwtTV2zYIcj8MUzjGPuAR3zsog1/NMZMV0JlYdLyDGGNN+Jv4c
K36Jori7nSGK4R6qBoo98PHYkmOcMSYFzbUbDBlqH0ohmjJksZl3VQdCXCM7ztKQo76iMurmrF8l
NU9mb4KY8GR0oI+QZombeU0URQ9dMkNS4nLB7iiICEKWWudYIpwWXokrXED83gmIP6rBgpCLkmL0
jV5UyaTZ1Mk4GVLuZ5aLYq8s69j23MhObiztNrdMWPnJ0Kfl16413JadjQkN2dSV2nNrq+RBnDp2
e1GoxtkXrJwLDwiY4xRSjlk6EDx0AW470ktRw0YsMc2R12SU36RK98qfBxAjRI9RG/aOxSA2SRCp
17Yz4E8q5UUj0dxOrUzSwf5c8Byd1wxlPOhcYXaRPabKN9Wcf2EOgcA170TzzcR50cki7wcVVBRC
LZ22tQpq07cFxO9Wci+axKCQEauY5VSP2aMFR2k8ko9l7VUOpGo+jafxGxpjwH0XmdqRM2DeZVSL
eAq40vph7CJ335OcCjk0pr2MimJmgGbETT2AOtAJROiIvXge2AbOGnNpNQoAr5rHdJaQw6W2nElH
v4w47VqAkBp13tgluZYOHtPraiicVrKuLLcDU2QOdKKHR1Ri9kmntlVDIoFL46FuqPdCI5T78cR7
O4hLC7RajwglErnxhGWW5JXxm7Ie53Vs2EwlguqD7TWpncV+3EVwfVYgNfoxS8avMbXIjbB1vWcN
TWxfRzhnXs+FsQLkAEbLgve4lVbXVl+aNkGQ5ETtPMomm1030BZYNsBxz7YlzlGxiicKup2nxak7
jr3xY5eSm3QknIaqc6xZsipS9Srv2hLk09bpg8pr+5ZWkSBB3XWTK2PiMivU7kiybVpO+JPLLcSO
51nPkBm2k0197KqK+MLFcDA9TUkboNGofNMIQ7hsVObOFw043E8xSo0GS69Ut8kQH+Z11uLIlS2o
rV+OGsJ7XYFpe01XNmmgWwdlXoxEq/25HOp1XDljvUFDVrNLN2+ybJUwqqy1TkYzQCqjs3Efj210
GQE4DZIixgfI/twMe4mji9uox1PqT622mMyLOk5DpJqGSRW19ppAFUd7aHJH4/M2mo3scRM526bE
FpFs7mwD8TxNL7uKNlj2wwTVjgnNaS7LnGSTPxORiSAdHMsOFNM9l2NT28YnrcnrIG7V2ATGHUy5
KdlIuhDZeHYlFC4KDuJK+1ZO7ZjjYEx400lOW7g+sVVxX6m5sjxHUJ0ENK0SAapJJwjA+7HbCp11
3Uoh8FGmoCZaF1k55nKsU3Q1lgN+ZE4t7nSF0bCCPp2B8gNLhkxOgyoGoIjyr4MZo6uoHqIHK4nd
WA7TODCPjYMzeNSd6mOtanpj8gQyjwK57KZWY19K02J3VUOwoMAe0rJYj/EYXbaZrnp/SkkT+znP
0mDAc429Js9qUHVC8tzLxlIwP4pyAEAB9bnzZrDap3wj2moL0dJv4chEqrrMEo82E/qEUDR9zY2V
ay/PndL2coaF8SKod52XKROR1EPGSwmFoyQLNS3sPXgyCObahjjnScT57NUigogKepPVcFo5SF+N
aV7ZEO/YWEvS5CnUH7LWZZ6iqB594nTJqizjug3sooHEKDezc5YnUX/Nyi7es0gnxUltjc5DRLMu
kw0xoCiaccuSEA62bZCYEdw9m4cOBQnqxae0jxHAgTWD6rBk0jd9CoUaWUKtK5bTDN57FXeoxoGT
KapWjnLICInpmHwRkQWAoeFOABhVgeiAD/HgtWJqG8+QWlPPcnEJjtTMhfCqPqKQFw/Z3m7StltV
XZ5GkpfYDH6KCgVBDy81BAP9OM/gqgnAfd41MZYxOAo7xFlSfMK1W1LQ9DJX27EtJuw9S2leqY/y
w/QAggouKNRhXXf5yF6mB1Ab5XZcW6mfqqQOScQqYGLpyNHCw79ByqaYMdcmnDkulIqfF2J5nvQQ
xbupP8y0PasSXXi6F/iGZbQP3z7VsuvnNV/IvDBlS+8AmqcuJFEvSaG5VlPVicyvhlmv3Cb/Zqhd
Bm8TWR5ySMReGrc2uDXC7IPzNBRnLeugbFYxZ/rUQSTkzxZLToRVNjuUVPmunC1jy7epvna051QP
jhbZk0YsiZRPcT+v+0q1K930ZP0XqSDX5hw7hCAXqvFkUZtnRfOoT6Aoziblo6HhPhZ5s8K6T98R
E4Y89yULn8gsNX5EBUyGQBvgORnoiIDjpVT5aVWtWzfv/D6erUCj1PJqu0GnNeuKMKmdKojGaAxr
hN2LqGsZzBr80d14xQrcd/ZxYAUMqrwtYUT5yphCjtwxK4cuaO0U1AffGWibtlDVGjQk0Ch+R5F+
ESlwwXawKzB2mCACqhLPuWDP1Jl4AeFg57oqaGkufDI2+h1m/2LpB1QWWTwTqdFKq9TplC/iuNvy
2p4CFHd9qFVP/bfZSZYdvzAN5DpU2LZNHUqEyw9OpCMnStTElF+MCDCvG8ETgCM1GdkqTevbLuEz
3mhdotuI9KM/tFUunVwXeJUNmO2qNGKOJFFmSdWn2RrPxHrsCkxvK51BSmRBiA4l6tRxz+MOXNQ7
SPWLQAAJwawxxKjCWaowL1mV9n0UDykgFSEaJC6UDiyl8OZtLr1KRQC+cgf4ZEOh54VAGk2HpBIA
vRUjYF6CFqFCDX8HL34RO5xlAScCQS1f+mAvqcQTFAFoLVLf6ictkwSxUA04XY8RGo/fPtCvgAgO
BOyCCuRAc48vpagXGoYBkJXK/Lpp4/s564orzuM6rFM++o3Q1jZ2k/fOt8jihaoB1DsOFMsocZYS
3AFRPk4qq6HW4FuiU+dF1kFS44ylV7CKHOMkjaCOM0R0zZI2unv7vL8KEEgLLhAn0DKAat7L845z
U1nWOAJ62fbo2x3JTrIWUuB/gwrUn5mLQXqQYL6kwtMO4qyIK98hfR9SMIAQL8nk21R+hWLgowsq
T+EcDuHuARRrBxUlZK0p9G0gkvXrQccOxFBO28ouJ6yVVCt6MiWZRb3GoBIssUaRZFOaERmLqqrf
2dHiPg8FC8emULsEVKTiYEN9XLK6nhlsaK7ZKobY9aLkKvdTU9nQ9Ox69x2f96v6QqsauZhRThBz
3QPQSlrGrN4ZUl84LYGuJSa971harAHsID9PK3HSO01TvIP+vxookIXysQNUbY7RgYG2FqcI133q
x1BlCnmZzptIdSWXUK8l9jvK9ORRD7hKAA4IWbAABgAPvIBboslx4zr1tdPZp5BFQHM3b6x9DY18
v8/yKIaSG+4hndVk3GE0u6eg+dryKeSwq9Z0UQi1qmj1pH0/Jh9+OODvbfvnfYDnbYH/lI7Di9GS
572Dtycufk6mfJ9oWSYXlut/tBmIOIIYFqp9gOI24syG+OXHlIUDE4IwHEggfgeBQlANSz/aDPyI
LHi82DMMOWFqg8L/7DJQeuRwjAGQHXB1jEDj4udAyQtpwWzuj+/PhyxeqjC3YY5jaTFgKDOBtwSg
eglRFFp0KYnNJGsokVJvhnlhs+o6qAZsocWctn8pklnIMZgmwUCKAOJjshjyMz9TWU7UQeg9Spw1
E38Y8wzPUAGIlMX20O018/3b2PgS55/occTAxzgYqoh84eNzekiVmZnyGhokFiovW4faV7Wy0+82
8H0c6hUmsidL/9M2OXSJCHIoZxSDmG0slij12bngJ2zhBF8cb87Cs7UfhlKGx7sw9P1w58H3nQ//
9X1PruGTvzsON3ID1+x28HXr+7C29rewFmzhI1wdbjZn/hpWd3DzBi71vA08LVxJeCQ8frkk1HD/
5io822zgaRIeJ4NlOdyE3i1cAluQ3vILfIYvgZTe2lsDXbgWnni+OoPHH/s+POoWftkEMgjgidf+
Tm42V3ITeHBPEARe4HneclkA98Pzlod5J/BhByeBHV0u5Fdrb/s52C6XBtuNDLxTz4fPcOr1SsPh
PdhdGKxPPC/c7MJlo7C3Fdx56d3BU9dw6fZ0v17vFzYBo5a7/d2ukAvZvQc/v60Y5EAzDiV26DJg
mqVhKMUXu/DsdhNewaEC785bb739O5TwS2/4i24cmhi0vHICnbyL0L+4/noWyzMZ3Jx6SL5Dh76M
3H+lcxBtNHVTJc5CB0R0vbm8BDl7wG8Qyfp45x973jsx40Hc8SvBAzcfYSh5zkBw599egbaAnN6W
EeAcmM0bZgXzZC/MqiEwW9BDz313cRweLwod7p7+B3/PbkOwjTPQ1d3tLrzdndUSDGd3ewuylCcr
UKzN5WqzWq2C1epEnoKGbb3jNajzzcnJkzqeSO90DfIGywOz8L2LY0+CfQbbC+/4GLRvu34nSHlX
ERYsfgYSDEFykgK//Gv/CuwGOPaeVvMDOP9FqxeGPiMxA5KXHEgch7dncQBmCeZ+thg8sO0S/m3k
Cj4tVh1LOOH227ryBvnNX6/X3wZ5sX9PRfgCsG9J8ACAi1bQtFiU8mxzdRZ639YbJcNVuDB9FwLG
+fvdApMgGBBEIAEDveWrfxZe+Veby51/rQHbVvL6+GsID4CjnK3k6uq8B/b5gCKXmxXoXbAFPa9k
cHqXyu0eRO37RPoXoBC3rvwUnAKShL5c+8EF4NB2twDM26rKF11/65wHCUWmrZFi0FQA7J28Bszt
Jez7ZhXKy+/IDMcDED32/OMQNhEA7r69A4oXH/PWFg580OxMA/S3gdXXAO874MJuwbXd3j/zvePN
BtB6fQvWAmANiA9eYhUENcBrGALPwfWsFy/gX4Nwwlt/c3YGgA16c3YZS/kFtCgEmYCXCLZghdeA
2lv5hGWb1eZsc/m4ieXj5fLQr1dnt0pezfJrLDcAdoBDZ5fw9fERtBEwf+2d7gFj4e/Feh/s1988
gPz1Xl6BFxmljOUKTPXLyenpl9PtOvi02a4f9hfgKbwLcAdeEOx9eXcCjmh9cezvwURlsN2eAGZv
18B6H7j6xGY4+TdgNzhXoAi+Zb0Dv7w79tbBKZj604Wf9/DzAgp7//ji+hoU0Xt4RyJvoxckKC+N
UcSRthxwMeAlj+H/oLurnQ8uD0xfev72u5Pz3tEDmDd5Uw+gNPeSbNZDa0MDWaAJ7Nidgf2DqS1U
F+9dS7Ai+XXx9QCXYBcbCRcCOoSXi1cGQYPg4dMl3LCRpxAQhPBpuXezWZ3C3/UemOZvvYunwAbY
Gi5eEyzqFCx38xQurLdbMMhF1cNFB8/CBU4TuQYVAvYDWoc+4PHxIkZ/fb2DSMdfn/lwz9sCWLzD
nwZhUxjBcQXBy/wMlGiQs6w/A8N+nt0YQS8M2iQWNFXaqvegDtEGb1N5KeUfVGASyIFc3iWEHFi+
jhro91FoAERl6gZRZ0GDHXpIt/E41z5076zTt+n9eioOc0EICXjzSDBIEF6eKsezw91RGNkZFwpC
YhjDJO+x/OtUYJIOyjPwkhPh6OBUuBMqNSgyMmUJ+YJUXWzaapzfUdZfeQfZswvFLUhCIDw/DJtN
naOkdVwjx4zBeGXijjBGnBnOu2UCWDcSwxDj1dsne+kiF3lBps451GoF5FFkeX/huVZAT6auin4y
Utcl2SKr5n7fZOkOdeK9lP0VUpD5QZ4DtZDFNR8wkVQF0kWXAam8r2TvlnMIzdsK+tdFDi8EvVUG
f4WTNoPkijjARhgCPgB/XtklNC8KaLuqJt1Aa8Ne25C+nTBN3bPBaGf9Nr1XtPA5vWUc7zkXoQs8
a7sHeqbEc7UucFRZQdrDlPLbdF5jIYe3DaAkCceDFyNf0okKMU9KcxhmyOuk99J0Tie/Vd18S+O+
fofYa0yEii6M2UBeDtXBZf0ZYLi1sUWTTrWMJ5L5XW/IaWLDUDJnYvLtUbB3AOrVwwkoIEObForJ
9oEp96yLRKtILXHeMQkvK5BAtcSBiao5fseeXyNlI0YdsGYYkCEHTgFbnGfWiGo5GRi4aElunzYp
dIndIjbvGNjLkO/JwOznpA4MrJ+dyjQYTsVnfZYkTrwSMHT1eWn7nQwsqz8b0V2/rSWvaeNzkr8w
UlnjkGFgJAx1eMxEPIS3imP/36CCmS1sSPQRP9TFxq0SM1uJkZVyu3Po1KcwFlTSs3+DCig7GLPN
uHPYUop4xOrEdWqpm0JJCnMdoeq1/U7J4jVVtwXMxMKQKXRuD9Nf4zrKqNqG9zKMS22YPMuzbW4X
0beiapIrF/Cqfce4XtVAeHWZQcRCbcYOECO1ktwom9ayhXrZKu+7G87YVwJD+cFfZ6ADr/KQxXPB
BMSykWdWbHOUxAMHyEgieK1lKBrhsxzGft6mcpD9LmoORR0XyttLBxAcyQHiJpZQXc5LI2tqqGxK
Onh8TtKgqqp4VQ4wh1jZfBVFMGdDeTtYsu7LTs7QAX4HRX5VfvupYw6FYfwUjrw8rwuN2L7vwcvg
ss3ti7JhSbNJaFc070jwsAL9dGRqQ6wDzbWlxXxgZmMTiwSP2shEJdkW5eS/efuy3bpxbdsvIiCJ
VPcqrcZtYjuO07wIaUV1lCiKIqmvv0PZwD22vOCF1D51HhIU4KqiSZGTk3OOZj5IOdDHfh5vy4jY
q1EN/R48Cj+jGD+3DggUfIPJn9JL7Yg8kwq9jjQpLlecyBRVVA/M+ZczNw75EZmtzAYvMTQzZdpF
WTCZku7Q6g2GrBrn6EHpCcD/t7/+6zXHyEBlswTtq9fpkQNCrtM+bgpL+yQfQXLKF6rFmS97cn7P
RtlsMTcP6VJKBG086+adLtsgN7Igxw44ZZd+6Wsj/zrEYV74wFg4tLXB73u5okkMoggySplRB4AQ
SS3wc2wSZ1bvdfDBKBF48QlAJaiKb+5Z0aM9rOIJSMAyjR76xMk9bVR99ACz+T5V43J4+2udWkds
2f+ASrxXEaFoeshNhLiRotqwYTfLhFwHBUCjCSDwt8Hs0mlnS2SBZ+Z5btzNPCNdWiBaGRD4nQCy
1PT95cD1cltrMl4D2Mpyr6n9M+Hv1OKu2aaHbm4YoyP28hPaIQFBaRRY3MoPP09EW70P0rk+GpF6
Q8ZBvPv09vKu/8eX76x0bUhQiicQrsVtLqgBOBahAuB0LpTYRVKOO9rVc0aE/fu0E6k0MpgIrA20
3MLNiWjYsjQmAtLJAZK+95pFH+wU/n0yjZ7tikNCIogGH9t8N+FU3zMwLTMSD+ZIG9aB0hffe7IJ
sxYA3LeX70QseTHauoue3VemDCJlI0Qrr2oLP6dV3ER5AQaXO7MzktffCWTfGP1KoDHRVlp//mwg
nOOq5XwZsnb21BVPSAdMY+dd9V2YgMUVzSCdEQKUIspI5u+PAnAZ6FYhv8aDnG4mGTc2WZoJt/9C
pvRDK8PgPTAcOh+CUF72Y7TU2QCg4ZkZn9iZq6ADbgjQh7FvNhcE3iTRRH2DVNQHmhGMrDYb/Jpn
lQdS59tf8cRZBwroT3Yd4ZnypzL7bHGTQTnFygEJFe/n60hLfdnRKbyqWBpcTEU8cfBwgEx9e9QT
nxQlDtQdkIgkwDKse+vZqCOXwQKFH8RrHQVl1lYVyBpVr67Cnup3lvV1JpJU5bKaqzNDv9q266UL
VC8Y4gGujD+V32dDh4URg5SIKGWdgBkDnsQBtZj59u0JvvqCGAXVB1CqPGCsXsWWsbB0NAv27FJN
AJoqXS87PHHbCzrE4ubtsU7NCNEF6SdY5wBcbzLUhlWsCodpyJpU2CGTmixfZxK08ZmtcnJODMDN
JEFlINoGsWoBHsF4esCuBPBZDY5de63uLqXV6kxsOTVUvErU0Gi9aONNvJxMAZ5712EoWaoMZQ+y
GxYHJo3nziSHpxYPuRCOgB8CiRFvgovsEg4e5zCAXeJV+5Eg1+WGy/1ff6L1msHViMXz4njzjAVz
m6eyqhDCQuD2vUhxUN8A2H17lBOrBgjqWs/DGEmw7dg5vxyCWoEzZ8IZySUC1b63SX1fyHL58g+G
QrhguHFWoNcmQsVBJzkpwfJlEviMqQEcGZjaOkdJ5Ewv5sQHoqiH/v+R1p8/O6+id7JYXD1kaTQ/
JbGgexEUw5n9tt6ML1KBP3xK4CFRYPNWXuXLQfzJyq73QWjxo967kbWVHzpq+su0DBmg18ba49vr
9wdD9WpEPwigR8F8jLrZ4Yts69ZIjMjKFAsoffCYBGCFRQqOS8bDgl8IO5d7V4XpUXgy+E0cuVKh
GA6cmubh7V/n1CLjQ0YhEA6QGlrZoc8XuRRg8IC7ByZMOi87MoDvjxLBr78fBPTUgMWAf2PfbPZM
JM1SqSEEpbMagwqkxjqadspLh+jMOTj1NWMAfBHkgS8DIuXlbArWCI86bE5A7G1ecxplniEHP5wv
xETcmdFOrR2Ap9g8MYMS0zZF0FZFtpv7AQTWsLhuZicvB0TR3d8vXoKCB0MOhDxyW9iO23ik4GwO
Wa268abXvNvbkFZnyrEn5oJlwyMKEREfartyjehJk1Z8zVNj/q414EX4Vcj/tlQE/I+HCgTCBt42
yZ/2+bMjnSwzmci698F36G47Bx79UIjkTMx9XelYhwE+CLgzFJaZv0722TBdtPSh18Ug2+qiuiEu
oYAxtle9CdMsAhkzMeHDQLwCYiRxcY1691WUAhT+9nd7lV/hl/BDn6JNgGpLsn1kLCCZpRPIvtkS
zYG/nyxX4o5ZMA1vQm2gJWBN2laX4wxI7ZmNeeIY4DWwYitpFCLN2hwD0vPQ013aZ66raZNzL3I7
M1Q3lJUs16rA32/P9dTuWRFS+KQUyKXtra2D2HaLhyjCOK8yoyiURToIB7w9yvprv4ycEP+IUSHD
DvojVPfys6LmXNoxxmeNeFWCXhr3l04s8SUrIPDx9lCvVxBDJRRpIt4fQGiuP3+2gxArI28MsYJ9
E1Zk5/pWJuBHcv9jqmj4k5vOFGdmt8b97exw8tZKI8IXW+n9z4fkjQzBfafQiBAd2bFUhk9Sm+W7
1HG7830RfEcZxF4PnPYX3Rior2/P+PV29SkKKAFeOsgkEdVeDt8J6YGlrvvMa0dQuaL4ZzvGX0OB
AhVoQV2m2bms8vWmWUfEoxXdNFRZ6frzZ2usTFVXgS+hR0ECPFrBP7zAUTnHnHn14ADIlqF+i4MQ
rHfPJs0L6gkoOOiDgIFLxiVPRFV9lovrINszFOxONvMCQlvCUTOK21aduyNO7NnQgzDUmgOierTF
D44LSK4C7e2MtIU8hGXjJnB+ff7Yq5HWZ47hicCHVgmeyjFYO2v020yWBqSBqICHgx+pO8TF5hF8
y2Y3s7H1d0zx8ENDOzyVbWEgABSA0hyDK6vkRz4yMZx5b51YefRjgdGE+Ke/gkZfft+gVdO4ANsN
VQWO4zrr6buJkM8LD0Dg1hXNrUqefFnyv77KsAhoo4foFOD4blkIXpe2oRywk0PHQCCcyoIux3T2
K3VmuU99Wzy8gEEFISD02frzZxu4E6IugDzts1Lp4uPsahrvnZ8W11PFdHwmbzw1GCDqeLCjyIM/
m9WcIDjGCdiW2QIu2tXg9/qdETHZzRGkEN4OBSeCX7QO4aGhGKPZR1/Oyy9Y6GKBecV1XPysJ999
TKZ4PjaibS/Q0OSf3h7vxNRQowfqGApsQQKowMvxWkaqTrsecb2Pkx3haGCOY4mOOv6bv/9kCVrO
uBIxNVSLNzGnirqhVFPdZ6ljY5kxqzVokoug0CCDZsHu7YmdiKkJciq2RjlvLTi+nFhtRdSWmoCn
2nV1DgIpFI+IROMvLxIV/JzcOHtHibvmzMvp1LgoN2JI+gdMstkrejJ+G9AY4xqBCo7VFXsXODQa
oR3HP5pVxiOZOTmT3J34jAAoIAWIkXzhHzbHYY5n1k2kRKibUCUoBE750Mg+j2N1jph4YocmiHMh
gNmoGgOU/nJhF2p0DE066GepZclbvQRHF83JhR4LUD5FSc4UWk5NDc/qtX2CejEeiy/HkyYupU1S
gRYniy4DAtWJrgyhx5dU7Zkduu7ATRqQIItCryEGnB4X5MuhWAQhLhCpBAThqvYdG1E+qhk01d7e
mSdHwb0bBiG6gWD7vBzF64ami0JEE1mDrC4LqKRxws1f18LAZ4tQkUhQxA2DLV9KcbTeIjdglDa0
EB7xotZdsBp9tZ0D1UmeCZGndgUqVOs7BkkFS7aT8pZo1BXiFpmmD/O03He9NFmEfCqLIbd45kOd
Gm1V6AWECmVivOteLuEAyYKIDjjco5PllahGelBNGV961g7Xi1n0mdmd+GSIyKhEQ24PY255jk0c
DMaCFJCZeRjQl4V6x7wroTl0Los4sdkxxFoYQ42WgeD/cmJ2YD6fKpxjO89xt+uAHdjFTZ9UWVUV
44e3N+KJVcQiojUJkAIYQtvBCutbMZWJyCLQ9cQOv478IUYWFllBUMhF5Z/xv4+OuLFRLUVOAgT3
9tpe+qSDOmAgsnquihxiUjsWFBUqtSFE3yAxkFnrm93b0zy1pkiqw7UEvdaZ1mV4lirwqSZDRyCE
F6v2KkA3cd92FNpNDKKf/91I693wbKRoACwMqCCRDXqq5kuEaii9CdfMQ141Az7l28OduGpAv8Vb
fs1NcKdsJtZNY9JyBVGlyS7TcXEhuVuiIt3JUMk9sasqJsS8Pv2DQaM1rOA44LW0GXTsUuNXCRUQ
MsAiVoCCfOxc9JFHYoTMhqQHozg7M+aJ59nK7l/5enjVo+b+cl1VskCvkI4iw0sJqglcXKWDbT9B
QrWGMwHtvkKRCEoixBsvA2PPUSZf59JrVwghFBk1eFfbww8tptjSFjIOOrb+vQ4gCtrysfxGCqlv
l4QUe1VIdUsGdebmex111u2Kk4I8GgWF7XUkJpZWE+qTWREAOISWBrRGaR3cv/1BX0cBvDpj1CEB
K0MdbXu/zrHQVRVwFGwKzb+WC5/5boLtA9RsCtt/nXRYfnt7xNcLur5zUVKDjnCAtuwmyPGpI9wb
kUF00AUwmaxEeJdC/qnMRrRVDiEFKTIWpTdnxVDU51ALp0b/k8X7qzgF8uyXm2kmPbTjGNJQbxh4
C+YnDiZq9z03eWqg2ZhVoljMbrDe0FygWOz/env2r8MRxR0Cnh7aEjRApfTl+BE6EkiTESQCC01M
/PnWDMwcA54kh78eCSVSVIbQyvlTYH85Et4OQbq0uCVFkcZiJ5bEOMi3oad/iObQnSMwvz6lYNHj
GYG8EN8UZYWXw6maNLWdFK6ToJU/cYHsGgM9X78pUIGbRH8sOye/DCYejrWj7Ontyb4+LBgdpfQE
yTeEFZPg5eiTjqJGK4wO5Fh97Q+Rl4W1CP76SK6jJGj0o9sDiOnmuYQTkgClbZAhGpJe1Y69mxNL
Lv/BVJJgPfVAe6ZbXI0C1g/qQBgkMstwB1B64dCE9uZzWLATJx/F7QClSghaIrneZFHon0LpQmjo
00C9aZdKUB1TvysvgfezV0kykb9OSQEKgwgm+mRgkr5ChKkycL1cPxEhNd23c9K+C1H32nelZXdv
L+GpvQjkpfefgiVw6S93Q1dXHt5bDnd+bNSlV0uWo5jQ7QJn2ssBvPYriX77fTjWELuO+XDmZj4R
Y5DGYUlRdQIgfosNDttmBvQDyXdhSwgVSVQU71jSxqhj2nh8DAIClcmQVfKRVaUbz0z+dV6ADAsU
VjR7UAH/o9X+PA2BctEAYR4orPlL733Bx6iiTAQ4jLnmZasAdWyah5LY8B8EHAwMfAE+MsLOtvY/
VZWS5YxHgPOlygl+w8s5WfhnP9bNmdx1c9xx8l4K12zukH9LuGazj84L16CfKK4aSu7+V3VrNsGN
/e/q1mxurD9r/Uy3Ztut/28UZU591udDref6eQb9zyRyNoHvz4TStTC8Stbg4bP+/NkoZOZNyKua
74pqjM0VdDQZ5Brd0IyX1NWp9yGGOvpfZnProEDS4zSCYw5Bhq1AL3VMjmGfljtT8PI2BLxpt1au
8rcD34mprVI8AWgQ4OPE21RZgyxSEBSYdql1SXet/ZY2FxPt4uACdH0FDlA8IOK/Pegm4PyZ2nMZ
oM0p2coAiXrQFWTCF2X8MWtsbFOIp/HZQHHtn4j4gEeFIgAeCBHmvYXAQ+8yZqQQLA/lVF54Y+Hy
CMDXM+u6ieirHgtA4kij0Kal6AVvLn7dViCw9AGULisoCucOqqbva2nTPYks2SuH27oTgzjQYCnP
hPNXxw9DJ2g+Aw8XoJ3CNqEurXuvaOqO5r7Xc/8uCIdZPlXTFEBaERgXNZ3pRp0aD+cCdz5yOcDV
N2eQL6wNCjIEuWvYnLVmSXaQfWjzUC/j7u2Nc2Io1O5XTR8AnHAON1MbwOiCVlTq5wVeHftCigWi
wBNUWsGuOfMBNxnB+gGBgkCLHX/iVWrl5Zmvm0j6VhvMSnn9NS/EcCQFdFwDEpcP04wef2F0nded
pTeGhubMR3x1Ltfh0RpBUgfkDnbqy+EDkqbIgXmQY5MmR7JAeYZFIwrTHqHID3rv/u2VfRVI0ReB
SBL+wp7B5DcfcShtU0Bcq4Dca8MumlbMe1nx6cyivp7Vi1H+6IM9C6RNSlMiG1rk6OjHeQk51by1
QN75PL2fZ3pOA+rUcKjOruBsECkwv5eLGArUTqskKncIYp6oDwMbXcVzHrYULh6JYC4Qeze1FTv8
/WpSMAEBgwWAEgWslwNzlBqB4Q9ITiH4/IU3aGP26i/hQPhIUDsBKBoVHXSAcOJfDtL2ruUw82O5
w3S+pF4PtwUrhjMVuNcb46Xm2WYN/yXNs81c/iXNszW8PNt+/6bm2SZ8QEgaX+2/1Tx7HR5Rbnom
2rmZ378p2rnZFv+maOdmb/w7op2bePt/JNq5iRPFPxPtfJ2LoKn5TApvsxf/L6XwNhP8l6Tw6Mtz
/Q+l8F6frpdKeJtH1f8o4Xl6KfSxN4MKDks9Nt2F7IJpunz7Dlm39bPmIsI7hnumc7cZ7l/Xudvy
5f+vdO42H++/07k7sagvZO42i/o/Mndqmsoe9DOkfjnQB0mUV1Gq+EXD+qo789w5sXHwjEMZC00Q
yIRt9SBZbIxSWnc7gWZojtpS8RiZiV4stJ9/vL1pXt/WqGnCOG8tFKOdu0VQTTpGF4DP3Q44+jif
/TnM2yX9+U8GQSUaAr2ggm2fw54/lMDzwTYAAGiz58LzdsKky5nE49WqoeaNLiP6fmjarkDXl4fa
4vGG5mINs6yGyPsWZfedp0Zz5M6PPr09oVcBEhl2uDbEkCWCzrNFt4lRjCu4Wu7qPqSPBZBZxWW1
OJBcIfM/eukOaqUm4Tkzg2y+1gbeYme2CFqorz4d3k+ASiJBXpEgINO/nC+ecw1In43cu9BrwAMn
C22D9m5uF1U2eQRLE/gyQHMeXigZ+JMK4vZe0nlRk/to3RVyn1ae3/kflo46/q1qgMVgl6ZNBvLE
Y4EKxafCQQu+vojJrMhP0dWkSOC54xWkzqpmFhCE90zpFTTnTszS200z2r0Qd0zrkT7OdkhJn0ec
m/Xf5wt052UMn5ff/gQXj09LsET03djFY/dTNmzSeaBd5e9rAon6OoPzRd1d6aGurry4hsa6juvZ
fbZcTGiQQ7R9rONDwCqhc+c3s4H6PvBH463XrmoJNeVt8gQF5IBdR+BSej9TBe7TxwYPQlpnPWhR
vsj/4xIzt6TW0Kmfe1tcDWPdTTk6t8J88B2JQJf8j1NLhyZ5k8N+Kx0/WkbH+v0IMzZ60aZpAWVr
zKUPv0jI4MNhkUpj4/BilEu50P0015ZMeeu1KYsvRg5XwuPUAWqVKeT8lu99VyUg03apTLvMuaHw
dj0vqHvo9eKLn+0goqA6TlAK/CQVnrPzrh37gbwDXrYv3k1VugDsrH1V4aEyq2LXRUCWfPZ16YHU
Shc41nwYogGY1rSEdMTeKk9OuY7Dtr5Xqw5NtyOU6PRTWLhYfR003AF0jiKT0B8UTD8gkzyLuh3h
oUOK1L/gNJjsQ1TZqcEroly0RL+y9girszYY9fIpsnFbfqzCZJbkAAUBM7eXrZ41v4+5HuY5A20m
YffGxH1rsqktjavztSsLXeHKwUHq0xiDsY93lxjS6Wlx1BQW+s3hQu4TRcv2B4N4bVDCJo0kpYL5
yVgHCTr+Xqg/9BH3wl/BsrASjniBktzLeTnHNc+rZB592C5p2Y8T/DN6U2J4HOT0sS5cB8y6HqJk
OTrI6YsvSdh4dQMHR84dNFRbHZuviJVz4GWTZs1yJ3UCGOSRqNQpmgU17NTKvCknqkc4Pi1B8UuN
IgixlYtIgbZAnPO9zwlziwJnndllnPOyJtJ9GXi6+FcmGNjykYkRhgQ0LSbxCHarbXdhWhCTgxax
xFniTYXYzX3lvNsOkk4g/KMYvzy1BOiRCdaeEQYfjYxvnKsj9jTViV4OSQHnPfjblVpxbwcqkV+S
C+ladF4zIZlzXwTrcFBhqOgg05DFjbcAIiJqIkbvmo5BN6T52gJPvR2fCFfz3uNwMUjgvNKgF3Ct
CZicae7PnV5+hpygi7UruAIKCA5YzuvZARAhkYAx55MFViq1Bw+QL0BYkrrMwCovxE0QlAQoVej8
AJacuT4pm2+hHO1Q5XHpLd5DxAeIJ4C14wr4qC4wTAG8AgE21D+62tWcZyQo01HnKx5CqavYbyWb
3jW9F7bj5Ti1fNDH0YIarPIZSv5xtIOtTRHeCFpHnYZ2UcUFv5wQrWtgpP0U1DsKDZswDxghQ5NX
2iRDcLnQDuHrY9HCcVQ/iIbKJt0rkcbG/zgWPXrCyO6SkMLDcRIkvrXwdLHXCUBDKtgP5cJMZlKn
/b1SDrJAu5SYerzraunkhYSeR1UDUTj1TQ0rosCkP5MuQM/jMNUu+g0vDRNf+16jvK9xFaj+sYvB
yAfqD2AlAA9BJO1/BhQxOQtmZAu5sdU8X3sRlAsfHUTB9ZM39WN7bNsyCq5VAj2qHOHL+x5PsGzM
Ku2Gy7FY2qMJCzgsSSNLWLCVpryFJxt/n4J5cAjatHmPvtqAfk8Xpyp8TKqwa/YoN42wLUTTu+fv
o2E2IO8OVDLyOaCoff/AnCr6eYpqWCWGmpD0iF8LUvk+b7TLgUNo6RFwa6+9Vk4U4S4ytWZ5U6eB
/Ex1kBAvI10nhxsSNikMTRv429z4uIELmBlV1t0g3g2fF+Y7/lSKVBY/4qVKOlg8kSS+nyQkiD8D
CyT7g+pJFe+4P8zuiKI6fJFmKwAahR1sV/yCX5M/3gG2WnUHC7/W9Du2bI89V/iAu9yPUSDEz7Rg
dQRi4Yh1gAPWPNJfFZshUp+Rfgywq7FHPHsf0g7tKSLcFH0QbpHLFSc1A7Wf2aJt4I+aTJ64YEZF
Kj544Vha/8LioQCv1cUk9fh7Tpzxfs0Nk8JkfPKZJrma4PD0PRit1RQMemGjZQeGxqzaHEpIZWmz
NOVVCK5Gz1dU6siptLCVc0KKX7HuYHKU9YlUYMvyMpjSb5LV3vAUV6yrkDH02Og8AzJsiYK86R2F
F4v2dTcJBNLEjsckmVtw0NH3kLcVgXNmBqAMJIOS3iKeA3qg9JcOuNAxA4eq0giNPlx7GuBAgLH0
e1jthrZfvdq8pmLJky3ROH2CTWf3sxRDnaBa2cKqONSD/+QTVMxyir1I81iWY/dD6SV5AMALN3YK
mzB7HwljL0qcr+Km4ZSLHNFHfk58NH5xwc7NFwVQz0Pr+vpnVIVTdzH0lt4PxkT3IJ7CXW+9Fr6U
iT9a8BxVdAV3Iq4/IFNIUJLmYdod5QJxiyMETQrYIcUFsznt0zG8WOCFutq8qu6p92N8LLeQy3F0
nr9DbZR7GR+geJADiAc5glC2bX2oo7C4gYq367Kha5dvFcH9fTlMAVzRBq4MINjTBF9m6TeHKHE+
OzBPlEc8PqAaMrhm8ABqKyTfDZ3ovXwGaHw3onuhjwbz+EKBxWxzWeCOycNmxkepXAtloBmo1il3
o9HNparm2GVsToAdg1pcWkJByJp5Vzmi7BU06lqX1bWIL5punCwka0zi7zyCayjz16Fy3QcNMB++
Llg++n0ETW8bWB8gu5I/INwFnxTtxZwFLlUfWR2XH0O4Cf3mYI7DZA7yJ1gRQrwDh3UZvHPj0cN5
6OvUZGmikKxCOGaIboais8193y9CHQOm6uHS9uDoHDSFA+PHBkxzuWMyJhU8v5RBG6jH1oxU2rF9
4RJvdc+th/frd0Al3DX9nE9FEQQ5cpQ+3rEFuQhwiQ4eZ/gVuzmLhA6+pSbsrksKS7sdkM1woQUr
Z6LHiiwSrPKlqr/2+DRVXpmWHCiY3yF+WwFIURgOMLHruibI8djpDnADxD+iDIscvGwSwTNa++XT
2NR1ccHKwgRZjEwFEIw6SeEB57fD+6aF6eEB5prQtEmVjqYD7ZWHln66NGnWL6p3OZ+B7M1I6MOU
D9YqXrhfdDc8mFh14QcYCNZ+biJST1ln40HBs0xaewvjyQFU65KmcKYrTezvenzP4Z1cvOCiL+su
vIRJrC3wHxE4Urax9uG6DWbQnE3xhGCmloq1B9HN5H0AaFX/3e8bB29yxMxMRlaXO15K/G9pE6fN
fk5nZHxRXIUlkOIivk5hsMGOyHETorM2Fc2vZqHW/IogvPK5awfcJzWvKroTKk3Hw7SUHubiw2YQ
2RKDIrcB3OOqsGP4FIROJVeiAA8g53QuH5a4FF42AHl/becCyeVsDJK8eRnSYBf1rLQ5hKdSyC5y
W93BdTn4qljKbyqYhLBs8mg5IRimdZWLYkZgNAuc4cbAc19J38DPDAZslf8Q6AmSBSEgDt3nZpQz
bCIaNWnxDsfSLRBbtLj5oqLyyB1HXvu4aAJpF68Pqms4BOo076H8jYS/6VeruJInMECuwVw9LJob
ha0q0ocZdJMa9jTVVMDQqZs57LSJjA4NoDpNNoPGFB+KqYAFxkIKWI/z3vqfmSErIApszvoA5yC1
T+kMNGhheXFcgtmDDlFYlt2RIJ8ePvGammxI4EiVq1IjdqGzETddZkCR7C5G8F3vYEMRtDv0j2b/
UsaTD4YYwZsF5yuqyHxkoWfrC8GScbhGroJXW4PPUkPeD07amVfrUO2UZaDDg8DCP8EopvsV+Ev5
kw+9+Qn5F/7NlE17I0Jg8w4Ur/Q7OK43j6KAp+bOw4b6rKnw1NFrqHgcG+IhZnb+Qg+xjVokBV6R
kl2IhIIeI9/6zSVtO/WIPntYLjne+3i9LZOgDyM4dm4PBtKw4wXMszJFcGvlgPFCH6toYYiJZFDg
gTrDKPkOXXmIUywgM6UHYPS98UDiMbYfa5EmzeXEGqTD0+zFMBadcQ/BCE/AV3aAXl2VRYTwL3UJ
5nwG0JrXPdYartK7uZMFPSIU97cw/ylA8aXwA81inUawEauhFQBVqPS3NwZwSJxI+luxEC/buS6k
y7WnQzQt4bAIq004AcK804fzTRHieQ7cyyoYaf1OfjNmdd0sOe3gWZYu9AcYgHgDTSns3ZaJjB+T
Iu6/d8IRekXBTj/6XpRUOdqHo4QWB6rABzBXmiGvwwKmSZxL/2nuixnHpV/Kr5GAv1q0sOJbOjly
r2mg71OSmuY4IOMBfHIKwSqOOzSd9lVdy4Nhnar2qW/h4sZ15W6NbK13aJmx32NIkjZZSNz0o6bQ
SYDSi6DRrrBBfGw9sGVQuCmXb8pjM6jyQyLsxdwo+t0YEK7A6XH9twHBY9nHOqlvgzrwfge6M+9m
AvOqA5Uq+jaXbf3IQ6hkgNLYqisdlUiRQhjIzLD3C9h80QKE62BKUnW/rfTId6FsHSC+Ofeh6ifI
sqh+afn7upIMbdNuFr/8Vo0uNy5tmr0jrG2B3Gz1NensMOKB4OTvMmLFV0eH8l7jCr+LWj594VOY
dNmMVfsRy2m8tp30kesLfPMMGixwtGwbgjywbflK22UKIgEecy28CDjX79IRz/CstvCwy5HPrs+E
JKzu/KCz4jB4VQhzGh+KRodZuVlntazC+IjOpf8lmhr4i4KST96zMcRxD0C7jFGowht+Z0FrHzMW
2xivUiAJEjjsEAf3VGpB4Wis7a8W9HzZwQR42O8DOaHtObFpOsY11jpLp26CL6QONKxeVYxNVsyM
vYefJ38C8qJ9NIFGHQgPP60yOqTSywooMERZFyX2oWnL8Nfcp+2tUZUqrywnlO3TBEnMYbRdMuWw
P4QNmlf45aUv43Y6WJumj7jT+2o3h5W4rsHwni7Hvo2+9jMlt7YmS3jwE84/lUhY9VVcjukDTwtn
wX1swDFAjSUscsel3Ce+jZsL6TNRwx1+YD8TSS18skTRXrNlhE+x0cOUj6GKBCSPHIGnIr7MsUPD
0xzmmS+fi9I6e4NoEXaHNGiCfceSyeQSkAmks0OJx12ByWN1XOo+49FNH8OGlh+aEUTfrJpkCI8b
ghxgB5dJ73db1d016H5rCEf1KjqMczXEOVg00108OdhO4hP6WIDFRDmUdr330HWjNufDEolsTkgE
M0qk7WFOWuZdhrPBNFOQIKAF2Zk4znCe2Y9SkuKjNzD1iQFO/xV2OO66bHVt84m36afEzP1PVALb
u1EP3fcapvCXPaY55uiS4/lrwaOGWgYw/zBwM2lxSYVqE4yrHXYUKSazLzw6B5nPComVRcxAHSQI
1UMLcQ889gOgIhA9Y3kH29jGZBDyrf3rwZHw6+xUeBtH9fitrRr2icK7lmeKtdP3RkF5KrMt6p+5
6voIprdh3cLYVqvkG1y1kCRrnpY3SyjtmDks4i3MPLwK1CqrbwZdIknxfO3vXAE/MNC6JIkyh3fH
FwJo1pekihh+72AAJQTAjf7IYBUGJ815hItrBFopHv9L1ctj0RFzWySrMUgE+6n/x9mZNdepZEv4
F1UEBcX0CuytebQsS34hJNlmhmIu+PX32/3U1nEcR9/ox2432lDDWpm5MslZzm0/i0fykOcDVdPW
xmrcyxdk+um9PXvrEjX0R3vcZKeqrVdLd956eBJGi/b8Ls4cBvYvg2Eb3rB6U0/eHirObrG3D107
Bd/czJHbRVhl1ZOeyu5jQmJ9g31Etx0LrwhNRNaZ82IZgNTI5gZm+L/o5WO9tFwBaY51Jkes5z+Y
1vK/zY6mlUNFrJ7zZeHqWLuNqR/y00x9OVmlc1WPNMnUvk43Jw7pqC9F0GFNR8+Q0pAGCjOnkarl
utnbaYwIdO2XiC3uvQux1tkh71fMj0o64rjOququdegnwIEIgjyr+7S8HnaMEs5S4iwvgrHyf2aE
G1+iX6eKqRdKDDkF5glk2e8TZMjpGptABHkSuBoBfQ0ghl0mc/M3BaFKH2s9hd5xmjr76HoLFX07
lTvx3MMwvlr9Gt575N+htW+xJIkql6D4OMT/8YpUr86NIN6KLxlhnjrWU2vXmLIu1F4BxlFONDlZ
82UOBTGpzaqdPZ6UNNeKnOKQq3AqHgOceP2o0VPhH51glke+MVnvGPNUN409ilfERYy7M/Ruj4lb
u+N1zXTcel7BEj35Yh3yS5wjuRxzyuo84iwS52FumeXMyrTvJ4MbMKXuZhwyCrDskrTg/W6c6j48
7CavrrZ2G1waMHdzolBs412xetxqrZ+R6FXPQ3te+BBFhx3l4Qsx7ftbHxqrT/iG1fVsJlsm4Tqy
uOsqbb5NotLvYVOTX+9RoXxAMmw3pb9OeULP3N5OZhP1vYUVw5Q9hhoQODGdM5HMk87F8CqdraHs
KGY136rUzrwkaIN+e692YY1RW03sAhFMfAWLUp3OcHQq5+yU2smIczGEH55bDO2hH8Z9fV3TWX4J
CMg63xaLcO5mX+aXrlnDj2bu6vwYyLZ9xjxdfZs7UQ7x6ojm1Sq4dSOLjvvrLsoQ4yUv7I5y8Fil
oTev9UGMhFsfyJfWxfkA1j1Gdqvkfp3VITXLTlv8xVMj8KI0Ns4ADgB2nRS6CkyEXWlnDkFQdhUw
h9N8qQzGCdin7y2p40NuXidVUobavmz9Q1PzxyTd0vNoE/T+mFj7Zm4onnt62a3e+rgB0SsOTOc3
DZia7t/EtnhB9lHvJ0hhs/r+IShFEBxs7HooNtZ+W+O9cFuQKX+erFhsZu+4VPSg4454t1/25ltY
//IdCvvcDVf9vU9nnE5Tf+6dGIyZtmbznRmkR3idvhyJ6a6x6XQc0CHM9UCJB50TbL7v7v1crtX1
Yom1Tcy00gplO7K9mCRmjOTzYdLr0bapMUj9y4ivbHQzVBA0pn0sh9m2+J8v3a10Suq2rdyt5riD
+qrYawvvoakJ0IvMNmsQt6rxb7Glc/xo0t78g4F4QzqytVk68fjMOmkGkQNY6TC7XzaMcSKAkso6
Wwi2XBPX4NAJDk1mOUvHVjd1mo6PkCoNvf3WtfJ0fNdvhVEEgfd4uPHPC6rpSKRyebJ3Fd7pxkzm
DLl+eT+2mbQTF4+IhynEwBFP7wnX99Zbbegqmc9UAtZoS3GcQyCj5yYvM4JZy2yRMYGTxX5TqYpW
zeUabKKAMSZz0LvAvFPU+1pfFUMgzwetpyXS8P9POatqIg63DnKwCtVlHMYFG6pgdiKLDHIvGlHP
zc7mzAn2BHNiDZWZllMWBRiPp7FHwvibauvJOsvpUi/AVJ27zl+9X7kTqplzK5u2U5T95kduXe/W
sdqzak8GkjGfyIdvRCRlsY14Y6jah4Qp/CbWjSaodMMbywTkDzr7CsyLHra6XfFQc2N42rWn2l+D
G0ii4WuKRM4i2A4oBD/blaz2QE4QAcXa7yLe0hH9qCy4m2qp6neRFzugpAqrp5QkOn1ofBFusaA/
uA9NSeXEdBGhyZY17uDMW11dpI7NXO9koGUiF2eGNvGpXId4huNr+JJklR98o9whdkutvoSDpK+W
DF0+QvlIIIxezhRCMyHOUxXASW3+pO/ngpI3wZO7umiqnBpjycTSJ8uaL+92ulk19d6qr8uqqeWF
PaXiadiV84D2d28iEsRDEFarHYZDA9t3s3cuAFieudPX/5AMUbiE+qc9D+ZOtOn0LNKurw/h0Jc/
XafiOtUkM7+vmxjunK3Nf/YdFh40B056p7fW4whKO/t5qRWevQvo07lvd/ZHOnPk8VNZY/Ci+5zM
ph2++60AmN/3BcetOchrRpKxcsGvrXQP3HPqDgZtfKRV3XXsZO72gkhafG9hJrjIwtycoqGlKG9w
LIVPyqZ++aK3IN/Iqd2JPtC2P/wcLDxbqNa9nwIjRyumGQ1ubXstQXoHM34VpqGyzqfZuqnL00lj
8jx9aLk+p3id5HIFOcL0LUJmX0RpMUrvxri78qBmmvrByI16l0e2d7YRHtaGC/dd4C8cVoPvWY99
0Jb9FXnttoFgahY3yfwamBIb7cA+n3uFVZaLw4qbTLLdfvGGTocVpWYVa+DUZ7nmgKXVTLfFDAyw
R4Y1iXvOJSjBtZsUItzem+6hOjkNHMPW3q459pyW9oPyPvIC0f1KRaNU3Jq8pxVenO6xNOG4xvDl
xXgMVYvpi20K+TBQglixR97l/Uj5P3AcBDnkE7nHM5PxxhoosjODA3za6CWqOOsYT1oKf7tQTAT+
DNyyVFEjZ9XELJLtZZlL8ZTJciiggofhra1S0NqFMLmK+NtF33vYk34M3Dx3IM3yHs/ezr7v0cKn
QHZNRfzGiSE2JfHg31KQP+usdLb5vrHk2Fyl3rTvUc/28o4MI8L/leJkenzyGz4040gt7wRFWJBa
OYoiRmKbv7cV2CxDlAMNrRiqCppIV/m9zTTsfBimZThk6QjFb8jf5v1uNkXFUFveQyWrqudVZ9QK
HQm471YFMX1oR47ieCsNKzboLP/X5Fjbo9rmZbzSAfnstOrrKGN/cc0bOLiv4hER8pmH9W1+USjk
8adrDk9MrTuH8q/LwO2wobHTGFh3fynNIl+3qg5ktNiVuGLovfvp+SvAM0bPGK6WUMDf5tpf/Ki2
Gjh8N/P7i2YU/D83w9JT0iq/duO+Ctxf8B4ubAcqghNZ3DBz1aqRNgvjeOsD7ARYvOVQW+IK+tC+
3obG+loL1dsHQWZhEa9FHZxw5BQy3s/BfxO85LrHanW2d8OAxSs/iJQWmo26PfhMh3ix6pdxOlvx
T78E8LHWqGMJfaFaauskc1JhxV2wC+dsk5Pzarlt8bw5ff59Bpt9xc5T5mfw1M1zXxbuz2HvchNR
9Fhg/nBz78StqhsTBv06HNwllB8Ix/VORnKJCQBpFKq6sKp6/dYS3+Ve2nmbDsmEGoSFzGDnL/aj
6UEPe3jiYqk3SjyUN/3Bq0SuD+NQqKsRtwnoJtOqn6nTgATILkiTfFi99egX+7zDM7qWoGPoxJjd
ZG7Z8JthBkRsWK/bsZtnp44bvt1lKzsLLpmBzJ+VXqcH3e4UtSIdUzfegKudg9u6poy1VTvW1Z7W
QxphTOS+CtvACLVZYE/Hkgb20a+E1HHoCrFdFENuP5EEgzOAJXNqA7/Dw6WbJOhMdqoDoixN9V3d
OrrmcF/bL2KAHuOWJvEj2qX2H6zRW7LjKqbmu6+pjuKiBayOapG53Gd2rZ+m3rg/mLkAn2mrufOj
YWoZvnhROBnKG2fb7P26GlQhIqdKQZuWzPXvGGPQVRJwD+9Q7UHPoSTcmfG6BXeIY0aAS32W1r1f
XtkcHyDPeT/JA1mVxVNZZRtwj7uK4tChS1LAeTawsp68PbY3orIjWe3Vs2PROUQNfhYZ/3zYE6+1
d8J5CwPHMXPT/Bwx0VUJjI+89NYmrfCwDL1LrwqEAdBfzZecV/ms950hY1OGRReLirMvXnI7x3K4
7Xp9BBLK7sf85M9Rr558FlY+f2Peg+3XzikClK3RZkxyFYwqzoRGiqHSwL4YS/bfGzoBDkjltxBd
tsNhW1FmsTlbe9CRLIAYMDdBHIlv4kgTW3j9RDYQud5n9YTvG7eBnx6UoYmIVLWFx3aZRHntbmvq
RYGxTBFlC85Ecd0CqJ4Hm+f+1G6ff2s5UnJegj9fdJKSKAnQQKnHvarn601ZXXFNdeZdr9ry2zN3
aZcidt0GUQ2VA2iNlIsckmaxBQDMnrF4ctftXpdt5of0TpE9NDRd3ww9ASM+osPgYA90+rUKMr0x
Tbn7fgzwDw0A1TtcaU2ZcmzA1Ku41tswMz7rDLdyXrsPUQu3uDK2554zfT1/eEvtHiw7n/tboHs4
r4mhyI1Dqfd+hUtT/NjgVn/WoK/PSntIJ1KNo0/sVBnV29RTmifFotXdhNwDhRgcLD5Ky2agHBZV
xZuNDTmmm+vw5pcdh+Ccg5Zzk0z+EJdVMfIpVp+lPwW6VVGbj+o5RHr0ltfSPFu9H8xRY7fmrcUk
WiZlvogH6okdhUrPH+8HzVel5uG5Mp0VRpzVsmQGCt0JyjE1ULRsmS6wPPLand5tH6eowAAGqAEH
eWAu7Q9BJGej3lw5qa+O5c8PStCgRmOwjB+2lbXUIzRBOkmhNS8afiAlXTo7VwUlqRfXxTJ2aFbw
rcbs08GYdtGILNj6jT7jLszffbW6E/bS2+7g89QXXqKE6xdJyguUsYt1Ins1ZR3Ehe0UJHjjGQZ/
rhFsRaczmaEVPrCKBmKlrtsAuBNGrtLPGEzVPyqzDF1SUi3ftTWV52FbMg2tBb3bJGG5KHM0JbR2
b7ymjze/UvyytLPKw55ywcCNB+a7rqzqjYaAOe6iEfuTLTeLqRXRr08q28pHe1skoJFcYeG4Pjod
o9eAma6DqbtbprS/bZTtfB1aOv0HYCdHxT3Kq+8bk3WvWbc1X0avosQmDL1EE1akznPubh0T+Fvh
3Apo7vy8a7P+LV+6kwKRHqSKVmzcprPZaisRLXPIfSG2uYROgkx88jxELWWOzWW09u30cyFk/rtH
C5pRbzjsT4cigWoCjis8dN5aTHE/7tlXOUnERBpG55SqkUNXuN3Key4a7Kejebblg3FW89AQTqaB
LlX5hqKOJmSblh+GBO0mysfTKh5HVXTnu67alw5CmAUd1qaIBcCAFcEd5GEE6AQUtXtVfpNPuvXj
QdkD9/DKPzr2uZpz4j1ywPHaElt9rpoU4dCYmekhG1MkFuVJaB8pteYberRZvNCb13eOC9TNmy/F
nR6m7B5DG8xzU9mqC1tOYMDDSaLEhnNdDCKrbg4SH1DtGVBRv1rZarsH36rBZZehkLdoJlsv9klK
2fGY6D1Y6VL6W8w5i3iD0qt92GYiYhLRO3zwfIJKTtgCco0zFHsvIne0SZx8s85XAf3OGZ6Zt0C7
6ZNLFcN78sT8Lp0dlh8Hz4KYGeluNOpizZ9lWrjpJZas613b4xhzZCtwsCHN467sXLKQYWCXPqNy
dwbwpkZ7XBVbN1wLxdkS+VM2VclUq36PhLeld4wpLo+LHUzvi5rUcC7xDLlqa6h4KrcuhZZU7hs4
3srx5w/ZeecwYQ8WW3Rn1tqj7DFK6Ct+6oi0wbfzPN4YufpZsH54Ah7ux9FqvF9a5bV3EMPSvp2O
B7o0OA+8vKkkLvzUNNgawpe+9sEqG04hJ2u5oUQAPANGcVsPWAcij/HS292vSfTbAeLQIuR7tyRh
2mWakkgVl7vbgmDrlDx2AAzUH8debNVtFXZcnk3frDbLZ3AuKxfOCc8bq6vpobzq0ZpM+bF2u/89
Rw+OIDN3rG/j3tMUuTWuO8rkqG0y22LGMJutlLLcW5xvrMLyepL2h0nHuo+dVlPt+QX1ub8HNo6Q
bW2dl7ZGz2R2SE4O7LLPD2VAyR4tgk40KqHrEBuFq32BKCcPDjjdkc3ktcJ5axHDcVo5XMNlu1jn
+dizJQD+w/vR1s69BoFuk3R11tfe5tZk8an13W6JG4rKqvSulhHtV9SGXfG8btBlYFKre2ObcWWF
I67MDzPCvgFvKK3o5v0KFsMbpHXJhxvQalRGPFWhyRCynQSInUvi0NnSLwUHbtq+DgyRvqzO2N22
VmGc87LW1rEVZlJnHK59FftTN+UK1QSQIHFA4An1clm18J/yxCSiqQsin4nS5dyEbgPf0BTeyAlk
A/YSlMJYJV750NuLU7Gf+AjpgI5pcj2IjyW4qdaCRLPRAR6/IfcP9KA1leeTLTOgzwWWAK3g3sin
w6L92jmSFASkXc7O8NKV9vpzbbmDcOSCcU7Kaeu/+KEU9TVC3+Kq5LRoYn89dVVwzPwRyGWKLPKp
vV7wIRVXTC1CY/v7Wr6pXK0/4fh46lCNVZiAW9XB3aAaAGESDnf6AfxvYV3bwB2+eaGt3avc7Yqv
iA6miYJr0TOSmUKgGTG+1VTxoFFgnWdAauM147TjzYLQfI4D4K79nIREXeR3cK3GfkJhsb9TeC3o
4Y2v0vF5yip/HA8DFlz+hYDKf8Ple30xmWPmMzj5oEtCumI0FrPAHZL+GnA783fxGmKJhm1X4IW3
+VyFOWqwPKC47rovIzQ+wiqrsN4F8og22YvKTQ+IQ0KkUbSmTaJGNEIw3acNoOYNs0K7DZY+DrhT
PCpsH6UZTF/4NHV98LDPzmpBVu78TCaU+zOUtuvNvow78NvOyZBAjMyPGaLpGX5IVj2YZlA9Fx00
VTJ33YDrDypAisyq2cCKR5cjZ5AVTX+AMEQiGZumCV2KyCsoBsGygb/FxrHSu5+e92DLBSZFFLhx
Z9lQhlBwrXfEdkzjzYSVWnAEua+4mxwbak4hI8czbthpl9thsSGtHJF9oXhcl0OOg+olZjIShMVq
haA5Hlm+q7EWJ+nLZkujauN4h0cE8LnAFZxmGsGJj7ZrL+WbW9kV88MtNpq4rS6VSRpnUT/yveUM
FAVpNJFwGjDasEQDHM0c1o9D3ddfESY6+kBXb56XLG/yC0HhDbdRaOfBz2wctozUrMjJaycJayjl
zUpx89aXS/AFu+AQ8RFpRemhDveRztixp9shKOzveWf7blKWxrrY3azTd0PYDQ8rIdMW2o0ABXt3
Ku2b1KmGWFkzqjAqcsHkdeuN39q8ps8tsQXlkEfEmSYg4+qB4wAOaeIKlwenrYVA/Cbme46pfYmd
skLjqEscjdb+P/eAmsIl6qxuuuFohCdGR5S+MIlRn284q5oEwQP0IDKf/nVTXLRJj+CtvyQ3xfqV
mTZwziwBxhcDE0iuEssjQZLDRQQHuTq0nxiPTz+azB5XCuoqe8Zjd3nY8mHhhtFe9tZP2/Yr85HZ
HashrN5DLunh4LGxYCL6MuixoCl9dKEbJWfMiofsVrlg35RpSuFH6119gNG3b532izWSWMM/w+KC
0azjtN103Rq+4f2CmgfG2O1hAfYSybIjgh912ezvBb0Vv0rWaNrmxl9UXBalO53oPHeJrcKvvxd4
uxLcI3fG7RVIHaxncZrpGJcQsWjb7Q3iE8vi42fQdpfjutlTZPn26rIPlMhRGZXZcAh0iOyau4VI
pSBTexZDyPa3JI9ZW+JbnnXtZi1hA4Vc6+6M+rH61necyhRxSI9mW3P0I3hsPpCblvd260/oDAu7
EQcU4en9xPmUx5T5kjat6OYvNlrxrxru5sn14BEUt+N109XOY1k7qn3oy3XGaicslu3cDhbzZczH
ERvUfXCwAdL1lJ5tnVM+ztoZQZ7WjaGVzdpBG6ldME3d7aAKDnRJwjsUqqNdNGPvDYk9sWsO2VQY
zsdwHdqLVhl7xsF5VUEItupyPrjOxH+dM87zoYtdixivtQ5Hg1Ju5XvQIZw4S/NiSW8WehwEXSTV
Pxp0cz8VrQGfWlor8UoZWHuqcuRkGwoY5A2TVb+vg0mfUir9H5hCnWDWzayKg4Aa8MAojvPKPAhK
j4bxoNe+MFzkwyTDs75eK1hWJoSac4O+85FeRRNsXNoj8nmX4aBV7r2Mx7qisKtsu65RmACSJGnK
mAx1pO/fg01TbbpMBVyVA/K7pCBiMoA8mLmeENc4z/bWF+8mQNkb17VPlYv1wtDHvRWk922p0BlR
+VPkQrvm1bFzGu+LaGyEPHPqp/ejkNMe90E6rxHjb6iZtG91T5VfbN+D2ZNfPAgt6yDT3RJJHoaQ
E2RDZUVcDQ2laS2c9kEGU/BIemP3aonRRbDUdZkdcx4CH5IO114zkibaZGUdvOEnj+ATOW5zMTB4
tRwkvu9TzN9jPaU5mqd9Xzs0IgCoP8aqyF5t0DQUtb1pCphYllhkO43YUAouJ90lAjfEAUjgv6Xt
lqsERdIODe8H+gyFPf/SQVvXce/BvlEcI8mPZgeftEM2TP7tVLrCcFTX0gX7K8uXQVfFU5hW4T20
IYjLmqa7OAFcposCTzDaYgpFub9xsr1RNNBq2Kgso6lj2CFisCp993KgiuMY9qVKNrQQITqvabtU
u9fgdWGdbpjS6uvioJYcWLZG0eEcZBP4d6e+0+VQmfeLsRuzIU7nBWwP/yb7elx29TWrOMUiDC4L
EohoS47BoClnMG8efq0M/F0XfTPZyTJY8OVFwFQBb5oFGbtTn9XRsm/ihQFEvrHZsEQPil0+OcbH
qqVHd2kDjVGiRWvV2QzeVG34MFXp7kY06zlFQyolG8Kyxde1cPavabHMEkH4CWfGDG5+U+Xo9PG+
gsPEOwkU6clXcINwAzO6bzadCeSztNXR5vjyhnGx4TYIMwTHvmyo7DPlT4RFhXo1nPTQ8/a4QfXu
plrTI0JRlZ3XcgwfRJvjohGGMPZXzrLCZkCHj0nKsT8yYsFdf2GXKhTROJGlPLWDoBedoN0PNKtt
yRhi2XUP9iaRBaAZGxmiSS34Lmbk5kNv8k0ng2WkioNdQioaa57fFmcV62GdB1kewzys2FN56FFp
IUDdkc9lWZlIIMHih8kAZg7zLuQSN90ECmGCrUJyEfZ2cYn/WNjcrEsR3LtFVfeJs+w1Y1odGrs7
Rn4gtWfmFHgZvdP8kFUrx+OW76lJNgNkdcxyCuNE8haHZOcQp7YoYal4sbUWElTITh+L3qeW6Im+
EAg9F4qQjb36s24NgeoFcx+P3bTh8HKKAbghEGF6QTOrICG70bvpXXjn2Nk3jbQ40CVejCqVKG85
uSIBkXIrU4nkxYCkosRbkWUnNfNDP7pUb1+7WpZ3ClW6dRIMgh2Dxvo0op3+FaQLzR+4Llgh6CEV
V+lC2Ex+bX2n4lunmBalpQRdhuBOaqeXZ6kK9u+ZWK0bRkwX64phMufH6krnBM7UyDPJEsouAIbz
HX7Uau8YLnAkGn5nzqHZCTiIEQGxo3xTWg85oQdV3CmLD7ZYlvs0jwO0cj970LuVNYYXm8im9Wzl
e3/ZucHNuQLNuChBTx4mZwFDkgEgJ4IIbskO9ckt1QHXRW2N3RLtIyDGWVD0AwCWzTTBFzDJmhKk
W2z0Um0VPHhNhxiW6ya762uUxNHCW/6GQn25OzV6SHGsmnkwIbrxnjnJ9KPSIMjx4hg6DGWCGpkI
kSqvYb6xmTOdbz76rBq4oikx1j3ghqc+asA2nGFtnT/lqp3ofK2wf8VnyKsB2dr6I5P9gAoirYCU
MD6sNZr0Vj/JDgUAhyz6C+XieRwVI6HkCbt4+x5u3r5QxztoQVagWhcVDmUjOmlVP6qCWYYYFsp7
d4PBf+AOGp1jl2bw3Czd4WBN2UCJP2hHx6fTeTvaJeDOoTQTMLYb7Agj86C5O2lQtyQ3vbmhcmlH
7zyD0d4OuZJBfya7XtyMC7fmedV1zkUAJmJHAQbztPCd0fJuZBjwx5Ba+53HtOgUrQgr5vNpB3+7
Z/YsxdtU+B3vJldudyDFa/Kv98mr9TN9gXgWIcAoNJC20Od7JVXutGr5Wre7sqgBaY8+wqxcRET7
hUYxlQxNneke1fg3n9TQEMolbF0OCQdoDJ1tBgiPAKjYvqIuXcjbCBldOjqaWZ6omzeyaP994vrk
+/Df5gaEB2D9ifmfhckZKOSn4e5abm7YI/yBEFb2dzF3aTRX/XzmV6u5F6LG7FWkGZ9umpO6muXZ
vz/+88D36fEeZo8Yj2NjCwv2+6w1M6zDhGyliRi9oh2qkTLP5xYqQYfpTn0HRxFGu6uyq8HUyIL/
/eGfU8UImOPptmXBOjpe6NmfbFrICfNcqLs2qlKu3MMgUzZSQyzgoaKrKJA1gaJlTGbDnxd0VMyI
HqoWtQlFDIB3700vf/mLPs+ef/6LPlmsIHhO+6Hhc2Sd4hyGwkzKLLRjSqXnnlKYgwcufGAa7VBP
q4u/V7CdtS0IgL1mSMM3IAf0JOFf3tRnC4D//FmEGJ5cb6XzD2ex3nBCz4qWuG0y4FZm5zKEHTVo
ZDV2Xpf8+1v47A1xetrJ4cM/uZuiiflkk6JX1RLzjhIEOXDwrgrfQR7HuBRloXHNO0G/9l/ssP60
DLHck557WoPS/WR9gUBy7KoRHp5xQPveQ2ZCmSvR4k6WuUA9F57pltntzvH+t/iHU8Qh1rcE3bIC
eb78tAKDjglE9C/QfRjhMXIF/Fvor43iLrgACYLa/vdX+88f+vvzPq2vzRMMpmjN4GFrrXS063az
8dwr9BgOWvF+Svqg7x9Dt86O//7kf65snkx2qYupsU8e1ekv+y/Lp3FzO1koVjYJSdZlhraVi1d3
/6NXy3/eJyGBLBsmMgBxfn8Kjy6csGdHO6ucLt2T9C1o5CWk/PrFR2/9l3Xzz32B+zbHB+wxhCBf
8/fHBSpMw0awUoeJ22wCGo5BHL8xXCPP//31/XNPKHw2fNLIoXvw9z293v96fYxyDYMpuBvS3u4v
qGCYxWJ8uIgReDKVPADn/iV2/Y9PdBQlEG7XDl50vz9R0mH3zcye17lYP9INoCucyhOSOOTVPW6N
wV98Rv60QohOCBiECDBS++wuvpIIoWBuOY2HmX4l3PWoE+2PS/v/WIpEEOEJL5Xiq336ZQVicioK
3uXe+z1a5ylEc2T6vzzlT+8Pu3KJeOoULvrZt3D10elWOU+ZUAh4jBaG+3mZ28PBgLHC4IOF/fsS
+dNiDK0Q9QBlGafZpx3mdYObbcFpicglfFhbjEFik2W+OMw1Rc1fTpKTC8rvhQOyase3eIsK14jP
MSVdONfUwEweDzJr3goIPfShFdKVXV8HY3uKJBbT8vzvP/EPxxcXg3ROsd3cQ7b9+5rc02B3XESi
EZ4CTHRKPz0bN/BWpymPfZ0GoBCOOlMOgse//Nw/fE1MYGGbyTLgcFGfCpXFLro86NnpYzoHrzaD
1yV3sVzOCSubjxnz0Yd//6l/2A2ngoxoFkdyJX0+WsY1nNDY1XBZyEMTF2fL4yycv6WS/+Er+rbH
bpO4FGH9/OlnYVeTle1pz6V2JQ2q92osz5xxlNZRthZq5KK0tjuJ/jf/y4H2xydzETDCRlggfum/
f8oU3b+ZSAOLymCmj2YYJk3Skb0BSDLKd852xK4ro5zpXx78h23C8yyqC8yu0bed/rD/OkkHRt59
Jkx5sZU2l2NrLQecYMVDCILylxPtD7+RVECHABO2yiku/PdH9bVl76vbMJ3P7F8iBqRlxh0YvC0g
kB40MuWXSoZ/8yv+ww8MT97w5Ae5ICjWp2/KwPQchgubpJAY6FgDciRGW9KzzGJK4X9epCGaj5CU
DWJvMMH8/QeWDJ2DJ/EDUwyBknBCx7T27t9yPP65FU6JCxYhq24ImPjZgtVaAlI8enJgBAYCd9Va
oefLy+UvpdgfnkJ5IvkPpycW+p+Oz5l5laZ1Q8hoH42olq2LWif3/udtTRXNlrNJJbIt2/20+oyV
L4byHZEFopHmbsBcp0u6QUx/219/+DkczBI3e4tLjpXw+6eBUVJZC34a7SvOpEVjDzGCxb84Dv/z
VPxPpCh+WUTEU/58+jU2BctqWkBOfm51yeFZbIdiRP+hDVP/Byas9fb6vy45zHgJa0Si7p6iVT6d
GwWybvADKmbH0bRseaCPejMm+fen/OGH+QHnorK43MgIP73d/zokVvxbs6HqacXDHsqwzv1rwmTG
Y+DPeaxN9rdwnj8/jxaAIFPqu88Re4ttzb4ProMEQYzwf8SJwq6mGZM2pVV2D//H2Xkt162c6/ZV
XL6HN3I4te0LADMyTSalGxQlUcixkZ/+DGh57yOCLM5Dl12uWtaimg00uvsP3/i6sdF+vD/FNxYI
U8TGjFMG5v+r0DuXY1QrPMgpKmKUuyXVhbKdP77eYfKQGDO0Zdd1VvhtR5ho3BEduF0mByd7RPAk
knQ64175+l5AKsrgKME5E3sBZ/XtBmYEbioJclfD2o5ObagsqGaGe1r2nZ0z2Ghw03CkhCfafPf+
Y3zjzXHdghdo4FWokEt5uVL6WI7rGsMStzT18AsSIOML0jxdbLMSbIdrprQUbd8f8vWxgjEFj3Kp
5HB6rg/taFALZ8BF2w20Yt4ZdGV9yyQqkpeSSnh+ClDwKm5ZR+Rz3x/4jSVjg8G2+QBtvr+12y6+
l1xg4Q26PbSq68TQc1dU1fDheyzTc8DCqwiuQH6vzq+yGtHy2zR+OZld7NA1BkDepMLiU8iy3Diz
QN9aOhzNZAOXJ0rT3Mv312lYYtGnSlxqj/EOthe9dVksQaUPrOQKHuF0ZZC022lcrh8+/jgtHiNu
IzbLx1iW1h+bjBWTuw5Ng+5/mplOCsynTQlT8UyM+tYCtVRiYu6QBqHq6s4M86nSIM7TmWymlito
WPimjYVBel+v9+hExP4/mBWhNKBbwh626pezmsGplEgEWZ16WcU+KvfKpM0LSNaZ1fjmxIjyl8sH
/2uvYn3IVLSFQmiA4BKgIcAZmIKJKJ0x26e5IYu7GeXPuUzYG4MuJinEPTxMjvDVwTCrtClXMzqb
Ccc2alRIuCb64Eu4NmGe++8/ytc3ORYHEapBnMqpoK32lnxIUdmC1UES1SIu8uJ5rLMvaL+sekQh
Pg3quahOWa4FL8M6bnIykZXNc+X2sHp7Y+5EoUlpwnX47PJN3Lfy1TBCEHPittgHNqUjJa7FLqIz
Eg9AifKUG04WBcEcRt6ZpfvGfuMAPmFL10z29vX1MhrozMQdqqS3pgk3GOnSwhdCin//Kb895z+G
WV7DH99hYrZZLwe43wTzPJpu0y1wLawidcPLNae9MfJIOsgD9TU7qxO/yihFS/1k48qTyGd8qt5a
X7zxv4wV2BlWX2sJTC6wdKYc0jvu6XSrPmtNndISJofHXhCjvT/5tx4xyW/OEk7OxdTt5dx1c8ab
AiyjaxlaDXcNBZE15cOZWb21kC2MxBXg+Brvcpn1H0+YzmA9GzviBBB69dcgCakj1mr4hPH2uavA
mxMi5sIY06a3V149wD5BdzkrXDgaTMT9oKEjkEJNdObC8eYoiErYeMh9sH+/nBC6pqBSsU3FJjiM
7S2YIr3zibRQQL//ft56cjbnIO8I9wJtfY1vuNzbiFoZSGrlrURnum+VvXVboRi+/0+GwizBWS7W
eIC/nFMuRtE6Ei+pGtvqxg7aiAqnTRsv3URD8vgfDIbbFSk4rtjKOgoHZxPht8GFt6cAs+26FuNL
OsT9vs3y7ftDvfWuuKJxAIJj5oRfzYseJt0UOakbTTPyW1AW9rVp9/aZvWr5W9YbJ5Bka0kPcUKs
WcxF1ptTPLPuCkHfpNvRK3pgcxw+RWSotlWH2uf9ab21Mkj20aJItxI1rNXxp7WIxnOT0hk8rcJL
ZuRxTYJJGPf66MzLej03siV42lkcfGQy1nMbdMXJBD3Vi5q62UVBfVvazZFWOXMvN3F/ZmJvjGbD
XcY+Ac+Xpd3s5TocOk3CbZzyujFI5jHMHekBayekO0o3n0D0BWfum6/XB5l1BeMc7hEqStfVtxzL
Jg37UomonRr710qZJ3Ju6nD3/ut6cxRcDvmMSWVQ83w5K0nqzXGGzkRHGwRWvQ+ba1o40w+vwt9J
WQotBAcknVdrnXQ96iibvvqin/qTogRLywSq36OeD+ZntQ6yXx+eFkuQJJOKyysVntW0NDNr4jAi
JIAwxmU9V3/GhfVBj2oSC8QDOtsSGzqHx/pKqUrAJoq5J7wrNSi6AnYM2WW98GjFQKAm887OPMfX
b4t93cB+k5iSK+a6IFj3FQqc3qGfL6u7S2tOgiu5G7Thw7s7kgrZwrncYndX7VWSxs7p96EBJIWM
0ZabPM2f56XVrDGTczZYryaE6w4RuCUTIqu4l68+Kki/jdTJCBGVeoq/5qVUbdI2+nB+nlEITblO
OA7V2/WnRCMo3d4WuOEGGW7tpoUNCmeYhlS76ruKtr1EODTRoZPn44d0WZ+tk701z2XbICJnB6Hi
+PIzy4h0FsEv3UtNRq9M3GjRpR4b+UfPf46TxWOLg5mTma3x5TAyePhOX9J4yMJs39GG54Im4zOR
1HLXfnGkkPFc7EKWWriz/PflIE1ciKYV5rcOjXBVSrdmvM9la1sqqotLPRccRF91n5xZk6+yC8uo
iI1I6+oLMGi1HdJLCK13NL+N3dGJ7Mu836hl4GVm4s/zl/c3j/VQ5I5lqg8Gk7McFNCrzSOGKzHT
Gooq2BzDa2gngdcNeX8hwVvfyCY6NTJ70eb9Qdcr5Peg1PipaapcMdapvQTqkDGUY+TC70hv0Qdk
m9mebP/9Udan81+j2Nx5NY2L9dp2jiJ0CA6YqUXInAaaSqQlFQtFyUNXfq5h4o3BsKAy0KFR8cYi
Y7XrN2WJTZmxdCNGAWMNlX3HgcaJObbBBxc+83ox1GrhG2YQWHPNUGgTB0QMebADrvLRK9syCpkf
vDHIq7GTrPbFrlMiOu+hM7LJGLuBqjHFttnavv+OXq8EqrOoINinyDaRH3n5faE4mBPDRJwYxFVF
FCsiCIvZR3deKj8vRll9xQQkMAFGgkeAoIELN+urnCpf35/J6wVAOgI0K+YcS7XJWr2VMZNaNZxB
qZWiN38qIzyHDIHuwpWwzDP7w++l++e2RMzDYKQIqJZQX1o71A0wEvSpp4pFFR2KDHdGCbG2JS4b
Ka+vab4tt63ZdXvgr6o3xol6gJKbndkbX707YmQ8TxS6t+xFw7macV5DWM8j64sTowCowSx6o5me
u029OQgdHjxTKjamvB4E7AsY4fBrOtW5s9FqzTgWeNU5uw+9vaUjRicQooTCQPifrM7mLstGJzLH
wcUML6JzubIf4aYgIdWT6P79oVYz+msobrlYtVLDxs7w5ZLXAitOCy63rpkj/hZM0O8ySfnYJvF7
FEo/vyeDBea6E2EuSzBSRYTSJlIhsKGIvtTk+VzBbt2+99cwVBcW8z3CVWP13ODm9NTPJNroe6PZ
J2M9XUKR666NLjR2EQEzyq7RQIiJfmtIMVFBKN2FBwNui8crPfehrz7C37+OSSlg+QS5EL/KR9qF
CkIPVEQ5jZkr9DS7GMEZbGO0bWcMuX/3hf3xDf4eizY5lYVD8Z678cv3qOs56OeJ9xglzUOHuAd0
lrabg3QPsnhvlM23Lh6+dQr2OXpwXxjdl5EK9MStr27TA1z6c3mKZa9c/UIc5DYHurN45a67hZBY
oMq1QeTLSuNozzn81/RYCKqcJ9iZRbpN4zlX72DCxT/mGBr1mW6lNx6+aZqaTKsSDRPA914+kKCZ
1Q78Z+/SGgbD1yxLn/7hyq+jJPM//A29GGr5Vf5IZtXKpEbTsuyi1pQOKQviksto9/EvlVEcvlE6
2Zaz8OUoDbLWoMj4hro5jLaqM0rbSoU19R/MhbBKoQRIEcJcrSMHl4UM9BrrqEySb6iixbXUS+bd
+6O8tTho9eCTID9C7Xa169BwEVZ9jqo6jZVkh2VrZKEIUcJNqIftpVxBdVC7qjpqfdI/fnxozii6
yuj1eP2hIK0ulCFHWqiRnLsaFWN4whdBOiD1Nk45VDnQaaZ5Yu8/1xv4equlcZ54i3YlLtNsCS9f
oDRQ2pGaBH6HrddXSVqU+8gR56otrx+tTQWQVyfbMgHeOl8fyXVvylU+ucjy7mTTeOp1+yGYzWMP
wQVma7u39OZjbS1sPmQkVWgBpFlVWnRXxyL6o4Gwu5hQngIr+OJUgMH3laLFpgditopgNoqQIgyI
zuTT+69zWSkvtxlb4dyin4HyCy01q6FpnkFMljK0bdKQrY1BsimrqN7gdYTYoW3OZR6Wv+/1eDql
EHqSaV5drdxJmQM9VOHhiAHcgTrmyecsDIMtfdYJ4kar2sMids7cbV7vZUs5kBYl2kpZOetseTQj
iZoXviJAI8lL5VLyU1042wq+1pm97M2hiNkRgcIy5MR+uUgBtc12YACZgRw4qBwgcipvAicu8q2S
zIp5Zmavvgk892imMHWW7FKrX53Y0oh22jZQYBgj7A6pgW9VpRinfXCRLJ3qDMHuST8wkeXLSTkB
DWczDCpAebktNtMQJYWfmZHxE22YDQutSs75DL96jqsh188xQwBo42jgIfWsfEVPnxNLaf28zvoz
k3v1CH+34dPiwO2KurW5OheieYpkkEiwRKe6O8AqyT20QcWZdfF6FPIaVOEpdHKkwm5/+QihivaJ
VaNSdlJhbOqonyE2mfPu/Re1/rq4u/BV8V2xylUbEunLUVBmKXg+0enSBYF8Nzo9pklhd5g0q3cx
IBrv+vJceejVkDwxApelbXvp2l7HfJliaaMmEFLEolH8EX654TllK50UyEo3jt0uvLqp3bw/0eX1
/7mNkBRTuaYtbYcMSrPly4lm49D1cooRVLuN3c4bNuVOu1L9c6mNdSWTTePlOKszh9tiZ9YZ41T+
t0+Fj/eG+/N4enp/Mr/jkfdmo72czWiKCOUfo6g7GgpcvDw2yjWYFx//E8/YUHpzLxr3CD7fnT6/
P/Y6+Hw1w2Xh/nH5InzO9Gax1JL2ujd4NMG7P6wr6/jRc3X9JJcP/o9xxqyAB1Ewjn4b7Gpk9Z9o
aD4GZ9bF+vRej7I6XpDjJ5m0zGbe4g3iAQ70Cq868y2/ipPWoyzfxB9z0eJG0ZPlfV3Vm++p9/Bs
7J4+3Z9zzlSW1/7eslhtuzQyZ5MSM0y9oe3Ugz/gfgK2eTN71iP8zsOZlbCs5feGW225Do6VbB8M
N3jfgb66Pwr3+Mu7P3PhUN7YMP78dNfBeS4KYYECXWYFAcsjWeThGeTZvuk/7b4K/xFW0LkXdma7
WAugWlurnGgZs/cJ7PjA4s3n2f3xeB25J+E/ERO4wDbPHCzn3t+6uV4D0qFmy/ubvO/zVt7hiLUR
2+g6PgRutuvcM+9vOevfeX/qahdJdTSUyAuXSUZezn90F+KnB5ztzONcn82r5b9u2dElrIgiKpfu
0tHu9gFSiLLpjn1qnZvTubWy2jRsKxF2sXxotvGlC/YxrORKxeysSEGRnCs4/86zvfcAV5tHYkuq
AXDsrweY3eDT4FtbPOC8x9iP/V+I7tmIZffXuVn+vn++N/BqPxnCHC+BmoG1e/UoPpXX9VH7HpxI
N4Ldrp6mh+IY32gn4+HMijn3eFcbTNiOsVkuK0ZjzUBeYH32e255XuBaXrUpNqFve7Z3rmX7VbJl
vYBWO82kFmkmlg+DAuQ23iv+Q+7N7nPgVjzecqu6Z8/xtzYACoI08S9qOfq4X+7YIrXzQl6WLCbE
G4XvQ/Mdbg6651zkHhZ+t+IE0XrX7PRL53DmKb+1r/459uopw5OZMgok3FX8YWN+yrbRdthOfroV
B3V/Lmf21iulnkDRgqY6iuKrgCABVJ1MTSXcBvq7rKC+BU+lT89d0fjJfPv+1NYbAdd+8p4kOzSN
Jn+aFl4+VbON1SDK9NmTtFbbwkeCqqw0MR5r03xmz9FXmxtD0dlJoR8Nkm3BxXo5VGar5qj2OGcF
qNQvSqco6AfWsjN76PrpLaPoVLCIBha17DqvouNSjR8kuKMWVe4N0Enr2PSZ8ORJzW+SKs8fkTIp
pw8/RTI4hFVc2imCmsv6+eM2UQJKaESFVyOGk9UGLit7qt7mt+Dqs3NrcdnC/txpmCAxHIkbGvEN
5Fer7wA3nmZ2LGnyrKIvHA/2hXgE/gZDqTFKLX3IlL4F+Jpb1eCS2RaSCxsxP2XJFHwy2qItAQj0
fX+oc1O9pZukxmOoiSvbrWR8k95/Lq8u39RcqY2ZCqkm+sKoXb18MDomGkVrWZhYKn2P54iUhRO7
IczayB8FPq9goI1+TLY4nPZPDZXHH6FwQttXqA7O26TSzHMK9/X9cvmVNNYH5S1Qr/gYvfyVJCBN
MS7xo4fFQgpoWFNdzCjyryT+gREMVW8fp0rl2I378czV9vXHpvHSaE8jH0yGXludTpBcpWFCHeI1
rf2tpnnjsQU+dANx81yX6BsjLUoakzI8WQV6eV5OMhSL5Z2jzuD0EpNWCrROfjkl0EKpUz2//5Jf
f9ekMMl5gQ1AqyGvS/KhJY95CcrKs0DhbNpmxOCpDs+UT14FObw2VJUaLZkUkDkClhn/8YmFFCe0
ZO56L5CiwB1xFHWTPNRcFlR+jLu53FhZkG1UOdGvqOZnz0Y+KWd2sNefHr8DfTeLWok2s3WmbZr7
ISxrvi4blrO5CctAutdTmZ5Ap4WFcwBfDMrlw0932ccQ+NDqo5Cpfznv3IhyrcwChPaihIAz6ek2
zy1t//FRaG5eigX0HKCUfTlKOPTUpqakB/OCnyckJCjDmGl/+PnpssZEFDJr1Cp/v+M/3mE6aanV
0hjixUNVXGW6UPxYgj4zQA/1824Mth+d1dKzQUclFRBWjr5aM+okiwwvWvjwcxwek1KaDwGeLGeC
hNcbiq0aaDaZFCW3V02HqH4p6U228PCHLXxZhn+TAWnfy7YhbezcGCDDjqI/BJL4d0vWf/0Y/0/4
XJ7+2vbFv/6bf/5RAnta2sZW//ivq/hHw7v/1f738mP/+6+9/KF/3fTPTds1z3+7eqrE37Zd8fOp
jcti/TMv/gpG+vdv4j+1Ty/+YVO0cTvdds/NdPcsuqz9PRy/8/Jv/v/+4d+ef/8tD1P1/M+/P/3M
eTqxaJv4R/v3f//R4ec//w6yYKkT/NefI/z7j6+fcn7yKoYP9rfdc/MUizd+8PlJtP/8u6Q5/1gk
4AtEg9Zhqh9cP4bn339kKP9Ylv2iQ1oOq9/i96Js2ogfU/R/AICROXL59gzDWY5bPrTff6aq/3Ao
NyKJ407DvgAr5X9+yRev7v+9yr8VXX4qY+zL/vl3hbogX9mfRztUOw72Jf1nayj51knuxRi8mQpc
jyf27pNt0CDBud67JKPLazVTv9FVcTM5cbRR2tCfc1v2NCBongoRssBI96meB+eAt0K4rayGAm+I
+xdoaywx8i6HQ1qnG21IArrq9AeiBhA2eVlckz+LL0PAg67WZukeK5na+90rI4dwneEDQoVGEpN0
4akWwYQgJ7npk67aRu10h3vUTtghprGRje/v2HxOG2lcmOIqUL1G9eoGBGpcG+KxmpzmEhBnsJGq
IT7oSWJzPjWP4PvFBQ4f+g9cEsQ2b6D82gy7S8F3uxOUsqfOKvR7O3XmTdIY5jaujJ9GVFyDTQp3
stGaJM6xBuaxgEFR+JL2kWmnHoSLr7RZVIdRsptTEoeWh5iDW/So2rtymqZrtKc3oWTli9xZ2WUK
IHqdBp5vPck8UNg55NXeAVuqSRWsmeFeBM2wbScnuRG6UGEh0+6mlshQhCV1mxRjDdfs9NtRKgzc
C2DJArtP4VqPgB1FqWxwe9xO1O1dDejmJrRKutWaQvOlot4kem4dI7u57u052bTCnnyUe4+otiVU
vhIY/LFpSM+K4hCbVHXlpgKXmyTGXYl9x3aqwd5TCKpduAs53mzD3dwqAAL1KN1g3lMcjaA8QHfX
6XSoZow4UU9wV64/KzMXfkC8lUuWtm4gRUczxG5JPwAhFr7aBd+bpJM3VdvVd7hpf6JFaTOY5rgl
ILvLq+kU2h1RZizBvLRhlXWR+lltO9IWGXav9tR9tcfis5SZu0IbP+tBwrpukXQ6YSR7+Nkfh7Hm
Qmok0HoEbQujk0HehvSFIGugnIxbIsiIqmkeQksH1QdyyXbaz7Bau4dIgtpt5sDnZtGcOml03EYY
w4MVVc2lMrTf8nR6TEbjU+WIX+k8Y5bQ9LuqdK7NKsT02xil7hfAPNEcgCyCvVAqBfd5URrViO1V
P+L9yEZqXQCxBU+vNzZ4OZjb1zpN7YiuMc9Jb/o5yG86O4MA7cl6an9qpcrEVQBXvglYc9Rg0Dxm
Dvx1gxPJRYyBxpTOAWf2wgxqhVvg3VttooBefVePutB8LFINxUvSqLXFu1AiomqcI+TtbAxp5fex
ko7uBD5Lv8I5Or8pyiqsrrUmiWOsGWq1svEb4xuocQ6Po3yTDwXXBy5GSvyzKfUAODW+yyHoprz6
BEzKvB07FKN+NNM678mWBNrEzKFzu6oZDl8BDfUhYFk7vg5b3bJ24NPmY0ADnwSp18JKVp7jvAM4
gR/HYYTXxOeeYh5y6PqhpWdNm1T7kA660fmpCgMUCqcT+OZUp/VGdzL5zuzpKPZarSpCz6rqikqA
MhTaNtWDydnHKQUZ2GiDis8F/gMzAjAMDoEuD3WHiUPdBZ0JOThKZxeAotPuJcCmhm/lBBBbldx8
vZ1xdoE/VugtcEIjdQg6zB5khg3FHE1exNXWa63WxtEMas1nGb9QyR+Dqpy9uSqMRxEBJwWQOZUJ
xu7SNPlh1tb1BdBHfIQUax4bX6ua6FBGUVV5kxmLz6SFQuVXoszgd7rGjm57mvxV11FyjERDMAHt
AVNsZ6nxVHZ7nQsMxDYibOf2CoxxLF03ThHThS914XRyZGG3DxJYJOFLuYGdejTygkvV6NNDGhSA
Gq0qBsyUNRJWo6o+DpAfg/m5FHpwB86aB1I6MR68oEkI782pwefEaRvN+NEPvX5yaJV8Amg/PQFl
B25txhr4Zth7erstOFuxFq9gI+9mAzntxWDltbqNHb0y9qHNoXEbqJ2VbqrBwQxEGw1woraG1YuL
tmm878yxvWk467cw4jBHNuYLGbj9Rdo2AJxxtr81wvoatsa4q1N78KPBGredCMsbxHcIcBx5uLEq
K3BnOyconCqecR8NT0qYzDtgtddjY0q7ycH8QsRCvkRASv4rHw+yyceG727rQUeEtziGvlzj9VaL
SlwRrU2Y7HSGa1pdvHU6BbGbpXpO5QS7qqF8r6VKvEkBOW/ghN9nYX8banpA83FeejOug8B/TKe5
SiZsVB8bGavly0Doe7iw8D+rlpK1ToT2LbX5SnY0eJyK0qyOpeTULi7CxqEMpWujNueLVMp2jRjp
3IpwuSquorGSr7qs3nd98KTNOcahWfmrqUALRNizbTHGOcUOvgNygqJBCNvyLSxs/a4N2BPKU7Cs
UHxQgFrbAPulUVpQjphpoJ+8LutywKk42FLdziAhaz+rwfhSh4N8LKnrczqaV0FhjZhsVOYVwVfv
E6zDqy7VvTqVG0nJ9+asaPtmaMWzORueCobTr3Bz2gM4bvFvaaXSNzuO5qSyPkMXeWgUuT1MLAg0
kii1wcU7eKE230WIHyGGBf0dgHpA90v4NW1aePn43FdFW3tV1QS+3nfsGJajXSRguHddJ8X3Bqzu
KIUhLlk/JaE04TFKdKrc0I8z43MNRzjyIpxG5h1K9Mm87kOlvVAl7mZby5llHHWCoQ83TY6HsCuy
auHbTsg8b51sMukdDhoB/9wogBHKvbyLHRwBS6DUPSbOcpXiJzEntwmE7vvEChCj9fi8oirWlfJ5
4PZVbaEyGMapjVAY+HiUQyJHNFQVFzmYsX05zibqpNSyC20fR7OiHCFUwHnCXyQDUBE79U8wktEA
QBRS/n5o5ZZn2pPjPnSijqZd1fEXHQi+tQwL7wLPo6+FFOXGzokAEzbbJGl0dmi1zoNDFOEhA743
0JPjlFaT8ljYGYdvoRZxvNdrQQezXcAAvUB5luLWZmZKyBUEhf/n2VpMZTR6k2LhqaEwxRVQhhxv
Di0uspM5yUN3kkU3QgcUkjQHGxsfibsOPJDk0jxT3DpyM8+bgZivvp2482BrGvX6TYmNLs629uLD
XpCcoqauFqF1DxnSaHcz/o72TVJbXOaaqKscPzDHktshN6pqz28hGvCxgx0dTHzKMYDhakCnrTXE
obxJhZIfk1TOuDW0WFBIodNGj3k+4VNZDZONbSuOJdKdOjdfjTy19rZs72MCYXoknHqLJ+5uVqZm
L3XLnVZwCFkOFGo23QvsA7qHWNdBdKuYmkXS9zQGaYVGCtQxTfSS7aXmmNx3esCvadsBnhfl49Ca
x1KWN9zbfOwLUS1o+mLoMle7XFR7xUKKYrRO+JgAaLaV+koxicNxrsf4U+SktqkmuibN2CbfydaU
dOegy5mD/XZx7OrygRo0GIKB9VPMzr4LJF8puxvRGMMtD/gzTjoLUyi7ke302EID97B3EBx59XEa
i2QfdMaBK9ENptDVV7ax8dpo6ZuKo/tOKrYd9uk4faIcFcUXJVGQlYsy2Jam44HI+5TV1Uk43T5S
i++ZjZEQTnH38JxvI+ymPbjq4zeAuV9tvlDUjfFxktt6r7D6jDTytbEi95xU6A+KECxYOn9XhuAq
q437FmauS+/DFR2Tg5dYTn0JjZl+Um25EZnOZ73Gh1svy19zH7Z+YCjEKniqjdZwDRDnoocejjfD
lSmk2yxPPs2WuNamEmawFh/NIPtRdW2yzUUouXgMRTstwgJzqMsvi6Dck2yMSoIpw/s4q6rvfdfc
d7J1hxwu8sKwv4p0Z08stRVhd4HdPWJolPBe1IBDLQSXUczZram9NjLl1qogQ2pDdUoc49aw9S0J
90897GNXVoXDJzo3nkaLiTvZ7ReOaq7IQ3LZSQrl4tDecdX9Uobttp5wRi+hCXhLJ8o04KHYV0e1
ALebSCLbJU71M1CNZhcO9lMTQJzGiq0UznEOp082odGm0lDIV6Hxc3S4lFc4TGnN4GnQ9nuML1uP
CvJOj7MvCcEQZwv50AtMLz/Lcz0/oz/pLwM9fkQl0N4PwvR6WYdNPR7YBghbx3ET1sGxyafHNJcv
MPylS6wIToNp7YzCvBTEbtwvN4kl95+mrrucq/GUElhd15Z1jxV74hP+ymz1KozdZrQPcZeQWEGZ
/23IbH/Ch/UOHqX21dCHTzFMZ1/0mNSQuyUsC/HgNvLgFNXYTZnOLPmOSNWLQDXzzSQUXs8EXHcb
6+p0opx8SgNcykMhDxdlXP2Y8YXDscAcLjlsKkjHk4Ib9jjfNyhZDvwdaug5Wkb/BineTR4nz04t
2X6J6TqyTyx9MtvptnNnNO1O77RK3Q39gvbltO3yz2kw4qciUhE4G33ogxsdOAnesHLLLeqGKG4s
twJbpu6AsI+f0oNI3nNNTyq/bZSo3qWYhiUbwh4d2GmpJnJ4KGy7JwuJCwSUYFugzJOglKVMqcEF
ZnYmPMS01FicX+wO9w9ceYcHu0smBYa2kC5E1fP/qjnZ+Muxtkl3gzIdH/oxUL/OE0ZAl31Od5pP
Aw+GMPLAr97FCLzxSaiFjUWN1Zhc2JrJOULmn8loI8D2BhIwFXvClGzG3pi5zTYls5KwU/MTaRi2
shFhYoxZUI+1aixEtFeJY67gcRPwOEPOlVyKc660aM3Kn3gj9seOwCrETcVMD1XVhrh9tllxIVVC
+6WFWv1QhDOKc8kMOy61I/k3URF4VqP8ZGTzl1DXkpOoW5sHVzrRsVQHu9+Os4ppQl+LYwven77O
T7giXFDKuBbSVOV+06ryVW6NzkWRw1zb1jrGFTu47s3W7IrrRsPs03IIfJKxw+GvpzUxIKZPyMeU
Tax6GftChnVLPWMlNHTKsRjnkz5kPIR69rTIvMT/x+9qTsxc63YIfz9pRIEXkTVfS2Xsjc1QLt6m
yPak/KkN7WkvUuwwO5tG9Vrk17hncLc0cDAeFfVTm4lpk8/mT86h61EfL+Ge3+NkEwUHNJpAMQ3M
PJ9kp3Du8SBWMW8XcRtuM9HdkdkKLpFJK+wWUjo8hOUgtM2A49ldiSOjgklJJRUbhXBu8m2zNNtL
i/7s3axbaDLLRB+YTzk06YVmlldyhKlmEkXEH72KGBCbDPWnkNtrlWRQoJZ+K4maK9tQXmFvso3l
6nuC4d/lUOKhPajz1ySWwx0mSIpfDFbEzqhuOYx+5KQHuHo4dYYHeMKOZat3hI8E/jRQAgd2HO2q
LKYvJJOe8REbPU5r+QlA9TGW+/J2HBHINmyYO47nubjHbIUrnz3Umnkq9Y54MsyXq1cvJumCkNzB
Nq6p+Ffk0iobPzXxOSL64el0MnumHptcxUIZU/SN3KgROyV+6rT0Y0Q3km7DTt4vpdLecA/l89dx
Fca8BHjaLWd3SAUIsc52wKd4i/V6MvsBgXvmkQCYPhe51iPjbUXzs4hp0eSpCFtOvTQfFlNALDWa
qwbsubhrOvzlXauR8AnWkxJ3XMcM0MqaAjnGj7pwrC/46ZGIi/Re2iAaGgpPxwszRdhVLddMjR6Q
7WinjYw9K/5vbKTS8L2KUgM31HaipxgJZuzS4ku0Ktehq4Bmu6eVs73AHjE96UKzfsW1jM1bWFr7
nJQid/WWtF5VYVirkY9zAU/2uzzrqkcLWyIoddOpmgT+mqEsDlbXPed4tHgDC2gbdKOlHKtCrT0c
sjdNqbbOMRrtft7jldhot8kE4omv3+ZQIDmYth7BqZMcBwfwi6/AuAovhGlX2ChyYf1Z5zauM7ls
T79qM0ycDYUleDhtmg7OTuC8E1wPZlkckzENqkNb6H2MmR3VlUOKNgf+d6eI8QLVCiFLWpNB3kgm
hwaSfzlOyMRUJNviXLPDY5WR6N1I9WK/FYo2uFnEORO+SqWOuNEev9S0RD9GUy1jmt5lXpvkiheT
rbrGSnb8hNbuezlrzUHGafJaJ8fzrAcL5EbGsPZpsMxsR3sO9gZiMPXHPs0U1RWyIbk1BC58Pjrn
Xkujec+X4DhkoxgbawNSL55cRNZ42ZZSNIKV1IIwv7LSalTuRQLXcsseU9TgAyF27TUjhuvWjwQv
h1QNRPI0N3J9TziI3TOBaz2fMjHg1TcmJVxtdOaT8WD0spFtmkbGQqOJjXHe0yKIiVhTIDIhc2fp
j0MjF8Udl+CquNXsKW4ekwly1KENqIXSRSg5mL/oMWG819aWU25abO0KX7ULx0hcNSnz+dI2A57B
UHTcF/CaK6J9UeK9gIOylCYPTEWdXcshet8qmFRzTjl6GN1momwwdE7H9GsA30nCqUSWlF+GUuff
Y97NL8JtJf9SVwTrwOxLX2hZy8qMwHp/78KkrneSCdMV0wuZ33GgKEhyCHc++SbIiva7LmG3sJFY
MSQjwahdxC1uRtvFsHPg1eH+gYtz6dSbMU2r/8veeWRHjqRZdyu1AcSBFsMGXFCTQTLIICc4ZAiD
1gYDsJ0e/6vojf0XXpFZDE9RnSJ6VJMaZIXTFdxg9r737uMQxxQWCoExWHcxdyDjhq1eZ0VytLoL
oQWjt+Nn0mobqSBLRPGkD+iLjh3wv3a1RMakL+429q3kPacfOkFVy1w3XDqDy1ObXZOyeiK2n/vY
iqk11eD0nLGwaXmENLewQlAt34V9UHXray7SYUtCh6Wsid1+ugrsIjmVJORw0RUU10WZTLmYaezL
3C1hU33cIBU2vADcwvne45d1RbVaIa4n/CL8hjLpQe5kBqCJcnQ/mjLxnsZJ2besEewCvUZjrW89
tv8D/bQDG6lAsd1ktpG+jp1Itt7QyaulbpdLMc7WLbXuMEKE7+5UibpDMfppOwzmw+zGRL7N/oTU
4LSN0T0/BLzUE3YcbJOWtImvMqudImokJHImxoZiaavL2hjzE7/pXhIDOK2uQ+6oHUpJZpbcq65w
pxDCOc5CM3ZZBYV91cWpfebbmhE1jnWq+cuX0lW4JmYz9DhNL1Op01QbNJt5MO79ro8jJfviyTWq
6m5gDT+ZjIJCsWa47f3upGr9WxuJ75Nde/eBV5w5Onf2gj3Jhg5C964a/AsRNJfdSENFUc97L8jg
d6XeVuRi2a0lVQ+D738eKeDdZdZonHmUvrUUlJGmUSmfRUjTnUOrPTMchB3H/Seu6D+jxjejRuxN
TAV/e9L4X+XLUjNsfDtl/Odjvg0ZHfcdo0DmgUzxgIxiqfp5yOhZ70hd2GRa14Gmc/i/vg0ZzXcE
h3AUgKyhSAh0ArbPn2aMTC2JhNhgB8jvQfb0/8iI0Tlwfd5MGKHF8vREo3BTrMhC68g8ZCskpdl3
2s3gluNDIvtcW7ZVs9jmU06wqTyREwhMQgApaPWGTtesidcuSk2rn6nV5bjpti3FHT101l2eZKLd
UCuuyq+sP0P6gu/DOWuDZrQuk2pd7HQU8ubaTVRvnJOhbqcbje4qcTp1a2dQw+wnzIup0ULXhr2f
jaN7O1A2TrlMo/J93fd0vXU0RtHA4fizx2yP2sLnCsleu/UTJwjtSWgmTgzZsEvsa887p/dXf9Zq
WfNHksQIUSqHE8GQfpNTAtR8ppNL7fJZW9L7VE8qxTHITNN7JyN959J1iaxbFWw6bSpj19OQu6zn
tDHvxnhv0Zl4v7CEDuT2iNDOe60ZDPuKhg5WwHnuktcRHAizOdkOp2PngNbkDkIPZx13yGtZzDum
hztYuo9isRLuGopjG9VFySPNmRywkqrVrLNK+lJsBgqgT6wqlWzpFtwNCxVocZzxVXh17yflPVtB
OcjbwdLLq16BBrD7iXJOY92xD/YSKgwFkcNNaY4M2o2f0hadm3JM85VwuP1lVIV7qzk4dlCV1HLG
RStPOqdvqNIdaVOzkNivBKicC2cJiusEX9uFWVbdnuNEs6Xo3qaSQ3Sb1KUwjUIX/5E25Zwz7UxJ
HRAX+aHEkNZuPayxG4ut9s6ySkrhMBmfxBa9eiZnkLsOZliEHzJn7WvECU1Rzm7xs3IjA8ECmjVG
f+Z5w1fJZInGrr5rdwMvepewufyQFy76ojfJ20TY6XnXj9rT3DdSi1has/USANkXIiQlRZTCMBaU
hHnjRStibOR91sHsZwX37IlSXJdpBtht+h7o4aluYU9WnyH6qdeEO8kdn5r5qKV5Q2lU7Axnysyn
W6rQ+tdx4UmVI3zEN9lXtM2xxzkxwf1yHdiUVzVxL/uQXrzqozRHq3ig9Q161Enhpl552peNM6B3
MUuGX1KMlU79qWm5HJg5sjt0pH0yXa3Jls8zbEy22jUjl3HH0UhS4Zjmk2s+MMfyktCuNIqE+0z2
ySu90bQ8StFGyhbGeUzpY1jkNBG3BlhlMFneuSeQ9zO3oWp7ac1wUiVSJr96ydVWONZ4W0KWHy4c
rbfL/Txh8Tud6jxuL9eRa3wS9LNEpQryMe/fqzTV3PecWWIcB445LzXVMFAxom7q5+y8zlpAEvqI
hdUIW9VNj/2ktYizma49tX2bdteBu4zOE/k4ts1dlgjzwqHodNrIXEspXOp6ZfanjJfc5JOXdKYp
IyREU6UhGeeCbW7uWtckzZEKI93X8hEpNR2dqnmq1TTHp4HfJdWlSuLBxi4BzCWasmYCTZfQRLW1
PUqetEZLwPMwLm3D0dSL/i5rHSfbL94i20dQlgDgZwugRDfkQDzd0oDqEKRIdrSYZ4IDpElp6JlO
QrmI+jZAGIX7hFJHFfsUdiI1kmigqd3OIr9aHIYl9Nm0N+bQZ9eZW6cl2htditbLWPlaSmWybiXq
ygqmON0XseVRLUdRKSXaKIW9AV0zsykZXNW9zpku+pwhyYZRKnt4ZbqTfqOshgM87M+STeM6Le78
isG26Pu93+eZfeWQsKYflX7Pq0zp1LpSM+wUWmRIDaFtQ55bvyjLdj3RJPrOgt4SLq2db1ZIfHPZ
B/rzOLgvgWjleG12KPA7Ioz+uFF4AHaVwC7AEVPp1kYVU2nt7KJAnFJAxbsL9IGUA6hhtcN0I/qJ
I61e1QG6rgSu8aCzDWVcp5dUJiiEP+NC0PM+nvTG6FkPtTuuK6pfcyASTGPERW0EKGE6X0mx8VuB
wGWNmjY9B33STk89lsswLQRJa/pB4mx8YVBBO0I36H51M1t0rt4IYrSMyqfeui6rohI7V8/ww4UG
L5qFe2ZLeuUirD0trK/irC16y30Uvt205/rozdYJOiljO7eckxerzrXuch4lthp9CWi0DnNIt7Lc
9PAL1Eagifv3BBm59iItdxdPRpoys/G8tDXXm8Kx6gp5RmzYUjd0q1vyNEFEq24tvDDllZoZjD0b
5kzn6piqFId4vhZ+nWaoZs612dLfzJDIKDnB2tyHop4dd7gGJ7/MaiyeQMB6m2LRXvIYyYYe8v7E
43S4SfrKu3EpwUs/5Z6QyWNC8e1wGqi6YafaB3z1oZ6kYhC3QZMBrZ5qayDdkNK3eqfFqH8feypQ
C/T2DKIGjaMOu+rWb9lCM+0txNmSdsGn3PLMjJmwipNp0wQO42hVZHFNk8rMHMro5iSLMl1CBErp
o3st5xkvPO4JBigOt4TLPl9mn0pwhR3z1PQns32aJtYcfFJ1UzXv9XmaL2Nt7p869G709UQG3Re2
PXd+Yrruxm29+tar3Wlvm9r5bIh7rF+dOpUzt7nuizMmFpWbC986LuUC140OaC82Znla8mvierTd
SM8VJ572daSXXNu4OZjDOxchJN02KEKpuTpSfFr8NMZPoeVzFKMEze6McdP6zawYflZWt7XpzVpE
OJT40sOsbeqBXs6g8e5Y1Pv4Y4fPwQqx+UhvlxDZqZNwqZXBLWCedEgeAeOm7gHBseL26yMa8Gdd
sRhksbCp+9RzBk09PTBH8CjDqqXmcUVUhp71p31r1wEhWZmpqzy2YyfATpYMu0apXG7TdvK7vXQz
+TFL6C6MMP+WxlXFmPKW1gqZIVFQedp5u043m+uGmib5yRIBjXIpx7k8CuypT84Lz51pKZs7r7wb
W2+YN5UUYvig2fHoPSSChfYEKain1jseyCDrcypOBT2xzmlmFvVJjle5PvXsEVMYHpOhM0NDZWm9
w9rbjbsk4EvcmIXfXAV5OXyGT69vbbOtHpU7TfdWPtqXWWtVJ47UsjPc6T62Nr16TQMmi5PdWBzR
Gmznn9t5gBYJS9SVl2NrGewUK59LoyYEQfwwKFv1dfCstt4vE7PgdC/GDkNEqhKOkJgxfGpa287d
N70u512qWQvzAztoDS9sWhSzig1I7DI6FEsb0wcYFNK7tBG0NKIsjtNNZ+BuRnzoyhp9rjBNjaOz
CbylP+d2m97iUafjnbkzKjObusBxxLXn9kCiZkRW5Zq0ynL7s0SqMaRfaGd+Kpgj9vYWQWTInk2q
WfPyn8CD/5wH35wH8WGuYejfPhDepvU/Pn/5x9lL9SXt6rfHwm8P/XYutPV3K97SpBgIi/UaU//5
XGjb73xwhibGaMuBZetgOv/JfGrq71YhnSiLjy0VSygG5p8Ohqb1DpSfC5eO8nocfTzuD5hPV3/3
m3Ohw6n1u2z76nF+48z+k9n21W/99lmIrnwXNjp6lh8ZNjo66P6gsNHRs/zfhI1QC95+V38lbHRI
1R59Y9+FjY6+sd8JG1HS7PsXsTd6X4286T9W3OTwjzi9uvy97FEd5HTVLp1f0+u+JpAgzBnVVqIP
Mn36X+eQfiW58TaH9As21M85JPajMg5HJvjuxwR06vChQ2C7NXzwLKv5tL1lOFDbF0ZpZen+17NJ
7VwVl8sQg2bO/oaA0tH3+38ZUDoKm/zAgNLRmxT9DwsoAdj4/gfzYwJK7rrEvllCf0hA6RfJ/ENK
6k1C6ej3+q+E0uA3GqOvRY/PHa3Fl7B4BIdiiKVlLNytNJQVpqZWnf0zv6RQQJ6txGdn2/X1SetX
5XmCM7ENh7hzLgajYsf95k55889F5G3e4fiWc3ipb4JNR/yPHxRsOooA/aBg09F7+cvBJtJLv7iV
2rYLS8vliL7uLI5+P/oUeLk9dfAI2kaUkRXkzCJtt+0frLmq021m9KZLNIFmUay4Q3uf4CTFVuJY
LH+5DPxHK0lITGS4vl/dPkuCjZKt/rRoFdWZM8YXFdHnJx+IKmq3wxR0j+DIMh7Q9vIkD6T9ZZZj
4dIYVwXlLi4XjIzBbAS4ymy3I2KApb7exBRx3+SURzggt/vmSatnP4nmcezvOfNMSaQ3tf7YjoWi
YcYf0ztNL/xbHLLs1b1k4MgVK9RXKpjnW68IfArlW+neT73OuTYtEvIhSZFpZljKwd6XC1aPsCdp
2kBU4yiDFLRuuHujGp/MSqeAhSB3da5nDXebNPccOJmtyaWNNdoMIsvxm4+IWP0Dpus+jWxkXUIY
7mBne0V55KU1qx5+gcU/axUDmNDXSoVFPp7EuXTglkB3XHr5GMyz3m4JbmRPblUT425aZ3oICnwu
m4qurtuCepCvHEFinICl1HvcJsHygIFJlRw9C0dsZreauzNR2fodldlGs120BDxjs9a1oXnhLcJC
QVdOyMjYf0+9N0eDwhfyc5dbyxhOQWl4G7mMHNvgIYowSJrhqfWYzqNcY2k879xRYwBMw3t9ITjo
2GRxBj07rY3GrWW04hTTD3Xc6lqYcLjIIjlUQF9yUgt7DTeZHlaWs2Ro2gY9rzpMubOhWvQFZ7Y3
MUwvlLuCD+fLwFa6vYsHLxZrDmjGa5DVJEjGzpo/JZ436xEZnRl3H6afbNPnaqbQfUoMI1J1Ur0n
t+h1V8aMhI9tCCuItaFXYB5ebGhq1Q0UFx8Pd8qo04mcwm7VaVC1k4uxvI3NC7cj4BzLUVMRGHFB
gfy4LBBLykQU2xRxc9zMKXaPyHMhc0fxklbIa0ucfXD0pefEndZesEnlQPp/XrJ1bJk5ySu3L8Pa
TPqIB7Qfifrs4j5o5FaRQ8Ds5fJbG9GrX5gadK9D7mDV6Vrkh1Dha3+QfbAYFxKp47WfHOIcfVbc
4XI37uqlRVtMGAZ9JpZPPCimGU/fmkbiX/lqCfhMi3GpyWmKBU+G4U9eaC1Sv2Dwb/KfA6Ff6QMy
CEh4oeOJ0rFihF7ccW0a2I2DjcDbn4c5PpolrGYnuGmqzBq2y5JY5HNE72+XoSOkv2Y9elwlH/2l
mT+bZUb3ZN7N80sJKtMI/TwnIoJSFRQ48v36oShS47E1cQ5vaMtOy+2YOsUUCbMssw0CDeUIOj6D
q2rurbN6JF6xplmpk0sAh2cbisHy93YWzPmObVn2vq9NTPoRRsj2Yv3G6h3qgK5dzU6Rp2e+p/DI
aoHFiFyoeaYYwcoHpgVrFqap3cXH7yTxjFUVWRbWCH3C0Ozo8Ys2W9aHEmlVhg3s4CEyD+EaCGx2
EBFRrK+plZMjBlNiInVTr4kX9ntFFEC2yyMazTRsMkubY/Irhk9TlmDACqh5XaBS9vKmwy1W40WI
ves2N9M14OOV+gnGak9F6LfBdIPcnT4A0UVvmTxnSc7KUTQnRAcxqJWTMuQmS7rpOsMsIUN3GKxl
N82inqJimrw7v0N4Oh+o4nPDwcRpeAgJxRu+JbvfBot0z21A7FME2mW8L6XXz5HyFdtbnIZJgQzr
wX+jthUDgdaVN1g6BBd12WQdrkYVP7BE91PUT01xKUlpvZgWRJXIx8Z4N9tzQ6rLnosHQyL7ojAN
pQiB6JWvCe/7k46RijFZ0tefWiCN7aYB+LDL6GDHQuK7xbM9TyVBpyRXFJjlVKiGM0knFQUSZf0y
6JAcKVMa5m7XYxz1wsxT4kp6siLc12TerWZlxqfUoPxgh7WtDFC1O63hdegMQNrWwLIqcs2/EWat
+XsVlMF9O3ZBGcHaRdO22Xj6Ie1SAy4pSgG+4JLo0Pgq6V7VDM6e5nhS3Mj8IQ+iP7rf+T6MfLQ/
/EFh5KMd/H/CyL+VVP4m+/ybMDKHB7bUvy0I/VfxIuojg8DhIT+lkJ13KzVzhZI7Nh3YK97vWwrZ
8kkak0/mn9ODyrz7jRDk4wJw16Axw2NaMQBX/EsIMvR3NmUBa5OUAfGUhMwfEYJon/p+ZwmmA8DB
eoSw1j43IJjfn2M6oVl5LBhnZYay93GteepuIEhAbHHwzY8T7jQoDyO6+5XtL7hDKe8FJm3N0owR
SBcCUeOMKBotdodbOPS4reohy8fwZc57bnOrM+wuGf30OWkqXcPsK927ibjerfAF47WhxsoY4jXK
z7UgoaTPKmrCJ22W2t6W00mR7fXWjy+S0RU1HWuDfStn6WVrRGcidt+OffrI9qfxdlWi62pnaJjm
I9PWGEXZDVbhLa1/MoL8wZPlXvAwj5AxGN40XX5Pp1t5i69Vn0KlZeJ8GANcNZpRjO8Ba+KtgWTt
madFLrvqyskbYYdkyr2vLZMmbeMYQXlBc1tvhHlikj620z4/0Zs5LiG11BOCbcc4ChXe8C/HZVJf
NKNLRDTzEqut2WU1mR0rD+4SCjpwVQ60eIdWnQ56FKsO33AjXTvd4J3OH6em94uTRdrK3KlYwdNq
SrJcnp6Q9Mzh6tIvMpoEuANVPA1smIxdas4SMKEw9Dm0ZGUx9GnaAuOFH+RXI2PpZ0ga1rjJ1WRr
YZ3XCQmEFAdon4+TG7XNstxxoyzTbUVGEvl7GLGqjmbTfpX+lCuYNDbYeVWiVe8cCkj7DxgXQGUo
xmmXXUfkO6RWTspNBfQCM3HbFq99XBdPtSmaO0Gw+KVsiC6EI51l162DoXhbMvBOw4RZjnXCdCS4
aoFNk8zkL9hbj/BBcCk7bDrhTN/DVwt46tckYEAS+m2Xva/GXmLeZq/bRWbFruWSCUrv7Jyi46/K
os8lERymi+E8NnMeDnrqnZVeRma2rhwvixqmsXeUi6aYdh2lPvqBWuZTkkrtsiHdyWiRo79J1HHE
PB+VLg3voZcw4T2bmFC1JwVkyIXSeVt7LDxDsrmkcoZEPO0z1ToLT98vHo68RWRrDthtjc9eNrrw
ZxhvmOdmh+0vDNi305tKVd39QJVMjgeAe1rojbn9yWIwsYSO63E40/k1kMlKHKs40R1vmMIg1uh9
b7S6lVEhtZw9dV+mpCAd9qAnqdGRFXNbwbCoIhP7OIAQrqI49RsrTBAOjP2b1fBXDv1HCjCLC2vK
m1KGVad7I5L82FKGIzFE/ZVShv/MSd7MSQyQRtwmfvu2uO2b//l/XTrU/7h7IcT3dlDy7bHf7o8m
dzpEDZv7I41JDkPpn++PtvGO2eIBsgU+CXDTv+YkhvfODwzgGdCN19vges/6eU5ivMNrh2nAXdtT
1jnHH7k9muZ6+3uriOtwxX3X9W3KvSEsrXfpt1dw0VnlGAcc07O6Jioex7P7kmpslPc6qYSOPDR3
LiJRdm5GUOSXixyTgxMqQB4kw7K6ypBphMz28xBYIuK5hM0SPaf3mNOT63rAjISDimiknRhoKo7e
OMG2afNSnDpZMpwPS8BZhlcwD9gxCpMFki7EeW8X7OY/+lnVvAxJin/EpMpabVM7qU/nmAK87exp
9vveoGeNg0gvXiurpPO2anpcYhbGU25AHHkfB4/a33MabdQHCjaxTPkEa/owngjx72Sfzi+alyiA
po5fo/8UgUkMJZ807pI1VpcTpyBLcM2zuMYJtxvKExfVZSa2+RIUxSVutk4Q8TZ1885cFht0iIGh
PbtfCelxlAydd1UFSx7sPScOhuepdJ0vhK2zcqfBE1u4d5ByMsrIxJzVcYaZgnmf6frcbXyVJ09m
nth3peIvhunMcSFShGPL7WBM3flS5s7dUgUc9A2jRuiSGboFy6MjyjAdLO9jXGgAkGKakvZ0Add3
ur8UH7FX6Qt/pwieXDMtXglHVTM5T8hPW+cQopcVHyrbocberN8gmfAkZRxfZiN2Ys2R9o3d9/Ht
MJDGn8cc14ybmy9dEnMINyYzaXboC0gqyTRi1Bpa3NjRGjN+1g1fWBs3tfsE//ia/4d9Ik4VJ53s
mlCJ+RkUQextlG3JbpsOJhnZdnAVBGfMigB0D1yBYnTMITJaZfu7KenHp8RsaFhDRiKjT0Q8fZ8e
EAVkX1pOZNqgPQwLLrYoY6OhsDwI/8rr2PlAK1nNNHPlVedmMXpl5B7oB1U7qNusUB77r9Iynomz
MB23m4EPQXQFYHit5uII1QGn0AxmaRN2STkpN/jD3lvklPka/NoPyDVk4Bj8fgCix92+LsLmAGvo
q1TXd0UCogbTGYFeHEmV2MfoPqT4RKXFG+EZoGtmT3AtGt2QLWGLlOWG04ERUSw++1SYH/awIRvt
1xvNT50n1670bJ+ZCgG1TehkraJ6TBpxis1oCUIcSpLb96JUup1rNX5VUtYaynpnPDrcsusNe3Ln
a9PDDd9mDuYv0vlj8dJA92bQ1FRcX7RjDDc1TeHciWGjXGqQ9jyUoFXCWQ5yjneQduBI+Fdx0OJj
AAuC+IOCY38Ws6zTjbOqQ15r5Xd+r6+hQLSj4SAj4eTwHtqDuNQfhCatHvpXuapP2UGIEqPvPgYH
eQo5CqlqmHP84vZBwnLcKn0l+42w1dYCp818ELwCfgbEcVcdzGib4Wzxa1axN/eAX9kMrNPRt0sp
a5uJsZOBOE7pVcT+fin9e0GXNLjCp2PD+A2Af7RuW3+eRr+avL97X8dPdTQVPmbtBx4Wp6Swym0b
a7S7Hqj7q5uKoHpenXYySSMlvGaF33j+Q8ZRcPv7H/TxqOXwglxsBN/4+Ecf9J/k4//K18mN1uSw
o/Ol/gIl+jdh5P8N8vcXnSJ/Dxj6V97rGwI2XevfX7p/jWp8tGl21t/Jv0j5B/PI2y3HX4A1/2J+
ePxU60t5sz//W8jex9Sz4+c8+mX+eej1v6F544/6/t39VRr7ehEcr29vv7ej88dfhYcfLzvHnyNb
57ff3Z+Ev68v+rffFJLU989CEOkH4Pn1o4Hqn8Tz/7v3crQu/slCg1+gS7//Yqij/P4j+9P9DObv
/5IYD3//RH9rCcXvL1Kc3b5/7r8BCP77azANu98/o/i70OdHAunRcvyLBkTvTxWKHFiPv/c7O1o8
1N8FlF9Xid973qNV5G8j6P+b5z1mw/7pOphfe563KPej9/d/iZE/Rk//rzDy/xGe3ghPZCZXy+Jv
C093//Pf9T9uXmTxneb07WE/mXPtd2sqk5J45i8W/Z9cEj+RYa13Bp3PAfN/ioq8AzT2J3OuEbyj
EppO7rW5ngevNO+fRScH0ckiNgBk/Jup9w+Yc911vPP2R4nTh85pZjGUBWIsDryji3YkHefKNEg2
gE6ApnauXU5bNZnulxwb5odBWfmzveJHIqwV1Y3RLwwC4Dgxx/X8TH3yYZTYUKsEvKdYy8Vl5fXJ
c95kPbURZhBf+sI39X0eJ3bXRrYgOuMRqkcZ76X7YCeLGt9nllEEZ9KGY3dD1s7UL9omyMA5lnAe
wyzQrWf6SPNr3TbtZmcgHIBMNYsk94DpMdR+VUWhn+tqkOdaiZWImFjC8Jr3FcNQ1eZBwlsgPBH6
Uy2fU5gaejSYwfikZ3paRUVXtH4I7Ga6GU2iccgKQ/bZFUMqLsYmmNtQN7NA26phbqcNVHr1nFWt
qsJ8Fp19UQYtgvkipnEIpe/NaDqTIhkI8tBjjBGTF9MXxchlUQZhACI6PriaobS+iKabL/w6Y65h
MBdycGQs2hRRw6UP22qpIYtNsCT80Jwg9sHOpiQp0kTcr4YAU16kudAvVVkwq27aydDC2DUDEH56
Nc+Rbiztpwo71R0psPTrIKU6G1I3e8wJBKsIK86gRSLX7avJ8rpL8FL9+94RjF4kTajnAFnTfrPE
6UJRzGFmvRzm1806yo7NzL0S5EyYCa2jbvcw9Sap5/qhD7qHhFeTMZfCKhTcK2sWwV6gPN3MKwcv
LPvCT7AIBkzX01KvKNyZQCQRzZyNT/o6io9nVcutlXjiCiYYH2OTz0u38w8z/KkZjeKS65rZfnmY
83MuZ+YvsKc1Wz9tyuf84AoA5AM54uAVWERQfWJCgoMgyJP6E2b58nU8OAwazWSs0q7Gg7SNayYi
qx2BLuaODNRqUsgH7APNwbkALSB+iA9+Br+a8DZMq80BxwaOB2c1P/gHH8R08EQg4qZwRdOMN6iX
E6XaJmnsr56vppeUGSmlWmiLH7slHcNCjkkfpfZAt3dmKaqPrJZvf+6xmxDaMJryxNEWfwotvDhx
KIDTAKmPewCGttC7+96U+rnfIsFEwkuhumGU0s0wHrCqRHjSgK1KiGMECRebcrkaZbiKfG3y388B
hYuR0GLtQrkGsJkuASuckmuR9PZoWrkVwun9EH0o0zcAA6ZbxSu517C5fCXqi7Ywydy5yE1LMT3s
0okR0qA8MJpt7X4ajYnYLvBH79nvqp6SMji9qG96wEzOq7MHQ6tyKoUhUhi0detpvMnkUj1Weton
O0J3cLt0Lt1kQ2Dcs1kMtD7YxtM8X4ghqBR8tkV9GDUbA1c6FSkVtPpijPvUzdUSYkoiFxiXmYd3
Q88GfiG+vYC0IIMZRAB0lzM+Wh3SlhKXOrrdtTTs/DYGAuxc2bV0pk0N8+J2cD0EzwWYkRcaidOA
cvatbFepVD2MOeQqVpYETRC91LbRg53+Ga6g7515s3TeC35Kn13IG2KTZClSrOcEFY8WojBIa0Fx
beqxRjm0B21L4MntI5vu+pWWPLQ3Y+o6wD4O+AxsIM2p1tVEM3XQI/1OjMV0j80mA8Htx95HPVW6
R+w8wPPWEZt6qha3tpl7rygVcGQIkXmvRkhDFjlHuK1aEIp4Ji9pJ0RyIU4V/BORt8UtAD9yaph7
nHGnrWSQ1rfmM0XzcLnFwjhV28ZelLkpSre8iOtg6U/jgh1sqLJhhfY2IrjKgE/P0Vwaxj2eOxL5
8FXyZFuvnBL0YQGnuZu9zwkZcIYKdTbfisAtv0wu4iwfdKftV1kbxPQ0nIFrBinGuN7EQcV4OthO
TtlDdyGIFlbCQdOEKyXVdq5c+1Ulo+ZF8MfyLqRtowYifkCsgFiqQcLkfXVmaV4KcDktuK6rRKb4
Fq0qpha862rIysxcoZ5OhCw3lDDz+iD92zWJ20GcEqkF/qFon/xieSCVz0Wf1cUmBnTFmLcXycoN
KGMSzr7eJtsc/AK5qXyZtuM0ewxrmo4pABoz1q6aqO7zMqVkuZTOAJjoHHZPfuKzuktL5gP7SlX6
fQtHx9+wyQBZXHiFXkdqTMSw9dKmaLfKSIoCE6EkV1plJP3hWBJa7+E/gYw6YHAgoUpyeRYENt2v
QX46dpe4W6tqbXGq4ziFrwbi6d4XFRcPbiYYQUE1uXY4WiPoydxfkW4e4wLKMGU5vS75YnakAwm2
s75J+4M989/3ABOmV9FXbnnSH6g9uhxYrGw/4yqrxRg393CXk2FrsTKuEHRRwDYUkvTk1AbPyssB
R0k7yBW8Ti/W9zWTZ+TurA8uoL4z0nK4GeZbzMRNv5toBgfIEi8YQewDZYj7wpye1MxrWK7I/U2b
lToJK7znJfpOJT4LSfB0p+wZ5E6tzbx8zCZzus/N1UtBoH42+FY6fg65grMAEm9FGcZ+sKD3o8hX
+zKAfRUBYZnmC0InerEZpdbf0eVMVRU82hZE7aiAlZlWTmweh0O6tyHTf8kdr7oK0rJdtlZfTbcm
K6UdtUMWm3BVgemeLFllt2SPKwsoa6sy/1osFQlkqKLrnxoaaEj5nPDJJ23haye4cztq3Ay6bc4A
5pnJqaFgvJ3GKtZdLMg+NxBZaAykMAToTjRiRCTt3ml8kBb9cxA/hSLGLQ3ja9xAS4fN3dB+nS1j
JU5AhxnOxhHaPG77Wej1tq3c+rFPJqPm+q+0C723dBj11oLtDUPdDOJiSnMsMMYyPtZdF8enYsi5
lmYGqCJsR9prdiwA9IzYGCxewWDCQhIZ88BTRjizYENT2cmVbpHlPxcGUcszKNpcxjhn/eV9D5u7
wElsmd1HYvxdNIKvvVeJC8YMnpSM97BDhlMrP7yImp/SaV3oEIm8gKBbpJOqNzHFMnHcgBIAZtq0
RMLPrVQDWhtMZn7GFejS/i3lHIRmE/vmNp1s99kznOxzjlMZMLgq83afSTjnIaRE19oxFrIg0U8j
nO4iK69wElfr3Usv99Wg8RYqrSpufcOEw9HFwxraHxKgdLEcmscY8DUDV49rcWWRdP+fvTNJjhzJ
tuyKkIK+mRqspbFvnZxAnKQ7FI0CUHQKYDe1ltpYHTAypCI8/o+Q/LMSqRzkIJN0WgNAVd+77xzm
MfkLtG5NGxRTl0DKMmzDfk0XPb3n0lwvaXfm+d0i4EHWYHq8MUO5XKQt8eTlyGwxA/uFaXEhV8wY
C1pTCz9vTB5XUgAolsVs0OqhAHjdAvr3mcZYKst94nPVP3RROssOAkh1UWsAVMQZp/xb2S3sH4gO
mRhVie/3m0qGzgtIvZy0qF/yKEu6DMh8ltWpt4Ga5p7CANRlnMoF3HJPDJ4QNCx2nihd298HK05m
wzcWsUN16s9IhekMOJfQVWi2sAGKamCHaKfz9LMOijkAwepKFdPFMrq1FVf+cGxDQucCn27uc6XF
R9OOvdxWea+yXTkwE830K901lZb4FsjPdz8ZEcd3AEesfIn8iXbgCL/hSrlT7u2GxV9u01z7z8vS
0wNXOL1okwfaeoKHZYPLps1t06IEWj5rdOM7w2iHbEsu3ntNwnlJ4kDRPjZ7YBwbn8+WgWegGDzk
A6M987RvgG+JLn00ssDv7yBjSm9HvK2q457MqLPv+xaDwzgCCXNCWGdBOnZvXM/idYE/4sW5EZmQ
CYgMeVuVc0LjozTcgCRcxsg74WwAEwoOghcTUuOVLBY7A5WE60YD6jEEe/iw3+VU1Di9kiT5HBee
tLEO6upuDmsHtKMnlpjJZ8h67J0UEDA/LfJ9L8jVHzX0Q1gqAsDgWJj9Z0B+jhn7tHDdjdPZBKPM
nMBEPOZgLXkqp8ObkdkuQ/16trcIIRZs5W5dhIeiXq8Jw5ZetXOmgeDzNDjTvIcvqtzdkLv5OVAh
dDjXH/VHPlnWVVcawqCxtTicSFrN4IFuWC/plevW3xW0sN9auT4MXe0O960WdXj4wwH/9rdS1R/n
iqxful3rYZn0It6fkLwXsZBfKpHGCL5QZAjGSI2T4gPOMRO7H8PiyimL/E0Mi3pBbFx+Ol7iOFsQ
La6MhTk4VaxyabAR62Vg88nzjNjCQXLf//4F/hevL7AtIpak2bBlhb/ULR1C75jaonQLASG98npH
bak8WP8QN/61C7l+DIwGr2oii1QpQzd/Lo8yLFHCoR7FNprmUJ7RVOTB1vFGWrymKgrEG3Ut9Xrm
Ht+XfvKeanIIJZs/VT3WXq+/Z0EzVJu/f+/rH/1DdfG3FxU6TEKzfTbDXzXkRsk5uE5S+BTth0wG
wJdNi62lB/+XxYv8Tz/pr36kTRHGRYHm/Vo24TETAG2t2IyoPj2abTKzkDJE8/fv6ZcuAnY7JFM2
6RzyR9RnVrHQH/suQ5n5o6y5odIMTEhM2qQGWT6tsMjJYEGmBiGrpto79pLe/v2f/rX5+fW36QdT
U4lsd6WE/flvRwzSwAiWDsjyqfomVeIs3OOgHrktW9IGaVag4eFEH8bOmI0zdM60sna68w3I44lr
BAfI1nP60GgGUhjOWT6avvA/DSdJOLUm0Ak2ll6Slw7qg739+1f/S8vg68Vzi5outS1YvsEvJW6x
EBymIw43Gm79BgJVyKKwumGHpf3P/5S3Gggp8a2daf+Xm6EpTdEWzNHzYMeukKhq2U5O720Zg2n/
4XJYv+4/XeKWTdJgrSb6BM5+kzz9oYWaw5ECval5V51ZnwV5iwMmgzWuFKT3oMibTaIHCCdyci61
4+l/uCT+coetf95Dsua7dI05s/z5irCNKOr7SuBdAhnMoFZP0MNvWdNNw6GAUpt3f/8l/uVptppD
UZ8RsnMZSfzqKP/h7a4OnSSHIMJyVLjHoqzGncqA9/z9X/nru/rzX/nlUimgpwJXdZh/M8yA44xf
MwzD7tYS0d04Ov+UTPk15cf7cPgPSwjdOqo8X/rbP7wrDwhXkxHN2/bggeC3T95dM8OTuw4qw6Z+
VjSWPb1bflIkR1FY1oHHbSSBxFIypDxLio71koMCh5IyO8oJkO926Aa7Ps4AIPON1TdrIMuNPG7V
FoAkoPHu0cTr9JZFVC3+4bH7X31JDphy0mLrzIH7S9NWgG92Js7ZQJNr/1UU2TdUxcX9339Hf/0j
rgPg0OSSN+FS/HolAK0shQ/LMJ5Lp3yNzJoC6lQ1/wPuyE3zA4Zm++NHj83uV4XdnyR4/+9q76jz
2zww//vWxsoeObTfK/gjn+Rqh/KPqdp///bvHY7oX9TQXNoYph04Lhns/9vhCP5F2jZadZYES+Bz
cOf93uGwg38xk8Xv2Ry66LSsGd/fOxwOOEtvHTgxoVmuy89/FKv9LcPyp6emyz/iRAGGT5OyrffL
Dc7/ia+EQcBdD4+bQHpz4wx6gXhkLA4K9tuxXLq04NjrdhwmfIC2JbNfYFepwpihNP0i7q1sbh/s
CBLFxh+dyYeWBK39+wqrbG+XpDOLDsskOTGxW6QDqCsD8xy5JwBjjfFMrE5TNfFGT2dXJiUUrzxS
nS81Ax5lO+YeSF328Z+VzI2E8UJbkfPbjIFXJW+6qhYwacPUt3Q4EotKSuPABSLJh3fPbdOC/66q
KrjyYCFeu7pmhQuqFIR8Utp6P+UKIGHXRvyLGUKmyxD6bs9QLbDsUjr65yK7iLu3D7OXoq4ZFFhC
S8K2pKQXclyOzIvWdPpkW3RBiiHQJM8PBtn/MI1JqL3M2RJv5jKLHhhw9J8TjvzPWdLXD7NM65k3
UZoMzTKoAxjczx9y31I3QaC8Kz51Ktm5OVqwgdsi2TtNW73llAqeEureRiy9rH138LQ4G9K44mfP
4Qi3GKlGf8PoRdlvREbNdiPgMIJBm6bpvCRl9h20F2u+EZjJJ4im9m4xHdjCZTij0eunlFVSTVlz
G6atjcdv0hzVSlaZS8xQkb2hJDI/595atS6jZkpjA1ZVsGGYqRBnI2uokBe57Vy7STQ+t2NATR5X
hG2DWfeth7yv+3DvUXt/aawiYuMLcXSCAczmzRj9S+pR3kwUdxrOsz/37nZOqVrFQdu3D/5Uck6g
GpjfZL2bUllh1r1yk2E3mKp9YUg5u0wKh0q28MsXr3b7qyxnTplN2AgPVZSe22+MfqCe1pReKGMr
L8vLAvz5QBB3lT32vkyBVQrH+EhbGULwS2pvQ0rQvK2yebmrIiDPO6WnfjyypTA/i7C1mGgdqLDm
2UJttAu49kAChO3K7Zbe1ZyW/oWHpxDc8ag0o7qie2U99SxqDp71LacNRPyTf0HT5JiKgNK/16Bu
c3BCEvt1H3wdzDeBK+fLLsrtlnmoQj5kfUTJceplFlDhD3JFhdGihSbxwgNG9wvMY2IiZ0wDy3gb
gn58SYtxYG6lG4rHtSbzULvTwLRs4SdXblMQJze1gYAHLqt0GWfvOBIzUNvtrTZATJjinhhI9sry
3oe89m53vTNv884KbhYrXV4TMyV+OyLHeixZou50O2IRKHRpXxPVNZEfJxWdD465MM0y207fMS12
H25qu7e5bzKdVRuGcLe9Mokdd8SlW4pL8KYp7MxPMmySRwiEEkPYNIANzw2EWEbbFi9sgKYyruh4
fO+oKFPqpc/8AQGVuGeF+gNQQKK8CwrNJJ4Hy+FzjviDrwjU0m9RmOhlx5HZuh4Wr77tFCezODPC
ltE3UIp0HEM1p9uUd3NhAH3gGgnM8iPtaCiBLR8gKrSTT+JfYNXTMRQ6/e5roRge7xRB49rlwL1l
LIGhHjPQzSWfY/hmpFn0TVpOz4PLKPpp16fN9Izsz370rCJBMQch81qWVSWpW1UZl+3AsWbXFnw4
4FWBkG4afuTe8WmcbRvZiVs8AdDSoxIT27aVrUw2kTuTek46I/g5lW0Nc88KomxbWo0eY+H2GTo/
OS7dOozdHPxmVHbsWMvq4QKuCl1gZmqfRltuFNDb++C6B2Y2xUZWWh4P2Tz/1jYFsxNJEd3C3UsJ
qyfJYmwiTMz1JvRpIm0mGKqUNoUP2rmImlcTLxGfYQ3CaMPkVvLui7ShqhGpnHudIHVEhLufL9zF
l+zbTRSrPAJVme1cBgFKELKG6+wsGQY3lHFB6jZw1E9djekEt/1ohttwEfZlR9nmKS1aKuph62dn
s2wpC4ctduWNZVftT8328zJTsqfW2ZpBsMVsRMPRtbNpjL2eethmXGbjG5lXfd0g17a2YbZYj86E
cjBWBWINCkYpmFlI8/ZIn7iK7voiWSApZYVIdkliMWuI7cN40pmzPCXZOFixbQ30qa3QHr67BABU
vOhmbuPFM/m+VLa2pTugAbdOhWgkbyhmM5W+cHpwLMM5Vmb3KIu65Y5y4KRWxsiT0VpHylIXGxqV
OurTO0s3y3eVg6+Iq7F37L1Z2256LK0uusPnyvkgiqbePjsU/p4pQg/dNmFEkU6Rr9vlZOcuwETu
7uimr1qjBMBvmB29ZlpyJ0zbdX1HM8DDVjCDICGD0X33VEIJdaQUPeyaigpLzHLu13wVFpT3ifbk
99HRBiI3hgXzPYs99U9vYjmLkQdRI/YK5uC3DU1VnKxNmL8tHV37G9YiK6foaADylXXv4uAOZ55C
OlJ2dlGS1pBXesxCjFIFFmtQzlBJZT3ldK2WtUkzLObIh6Mc+UmywOr2s6BJv50nS9j7FOsNQGE+
Xtitw4wOLBg6Vz9C4QRbIMvGsCjY28l9pgLqCIrZUIPmxYjwby5a+aOsaLTHmLWie3QIHGjVMssr
ZDb9t6THYRvPdedfKa9vEBkuc0M/OWygN2Rote7HoQZea6D0u7YSq2EoMJ0Z7rB0BEa1pBn5WVPr
f2o9FrvGW6d4u2VG74pMOPjONdD8DJMxgzpdWO79MlAv4gV64L2YIDLfkC3S7x/VuE48jW14YzUO
84QJUzJvqaHNK3aeI/1wu3Q+tWc5xD+MEhm4KvP0lKChWzYcNKqbmUvPiucVVLL6Cxu+TCG56YIp
N+/ELF1aCq7JFziapvfIZm9tYAw+D8/CRMVtMO35pOwCXinor+HBTp0piytILtfW8GXNa8V411Md
KRnGKofLrsl6uuOJVV4HmQZQUJod88ikShLAkNRNXsJMtVivuiFI7/TYq0821PrBrrqxiYt6REWB
uja882Wd8uEEKr3B1sKA6cjn/yJNb7zRcyPaGDaOqTag1btbVc7JBwTfZYnZuaIAcKe1HIxllZOU
YP3epI2Yg11ilykLbB505Y7dvvtRpkZYbTobfrFwKw6fqRmpVwouQGfzpmKVsBjZYUytCBnA8jXP
hhz8Ad8yQoRHNaEXXFtyEQqjyWmHLUGc7mdEz33cisJpmEwY6Y5vvJTOMAM6bnnPRDO8F0Ra/jtt
kOCuqbrqNpur8DYxOwy+lPesW5uLvN2ZUCoo/baN08TrU37e27njwRCa+vJ7UBIC2GFWlYyAJ3Md
bQnThGcp3b7J9npOp5fIwau7n2wnKbbChd95gP9uXCEJgnSBuIvcUdinPJ3DkvY9DqKpsW5WLuZn
QaMGTVVn8dOUHMGa23530sIi/qBq7XxbigKNaxTohDCFQWWdXVPuHubFo3Qimevt9h43cYvqqtC3
8+y6ep/DIRliVmHj2WAMERdP2ZjFbvRzA7qrbmgfVwsJEng9Rv4RQUSHlI/IkIiHBZPi0CjXFC+B
UrxXn1gQY85W3Vf5g3ZcIixjmloZw3K0i56GgL+4bTEFWWy5U8slicOEMLtd7/97Hf6ikKcMHP7t
WfpQZ//7f3V/PED/+1d+P0B7/wIgYlFWI3u3nof/FBG0mViFw2lyfqXIzMn19wO0Zf+LqA9lOIAO
YB8cl5LJ7wdo4oPUpZ0VKIGQnk7of4ZtIK74S93RslblBAUYilfQIMJfytAW2ZC1++zHIqjBopM8
wWmk+6m6YKxWJ9dTNUzRgVBLCVSmLgoCOrpbflK8ztcjA7okSsltc/A8RO/n6cuoZI456NzCb5Hn
htzyXVwZ/iLvMuwxzl36ZWYyzHqMLpJJ7azJV+gGzORAvE/Bt8ejtrMHh15bCeMg5Fy896KmYzWe
PvOhgQCzaqFmTOfstfLux9K75gc0ryymNVHtwslpjmK1Sy0WcQICdn5/8MK+B7mNhipy3XE7edwV
LH2rqmqBk3/RrwYr6v7IrPSX2Gr8klxhzGEfRryQ4fnC51OJS/B3O9/Phb1pVlOWP/Rh9JF8CbRc
3eh253+JtUZaTJQhUpyL0GcEpPL8S8Sl0d9y0nWrCEOX6rF1LfmIYCtdHV485VlPOEfS4WBb6Z8V
MCIe7av6q1gtYO5s0TwOvuRg1eoJq76UYVhMaTsvv6nEGNRP1/oHijHXsBGKgSimfVzzYHrMVx9Z
Mbu0kFkT0ZS5C6QpkkDYy37LClUMRqJClsrzb4HD8SOYF+3qYfQcfQC1DRVp9aIFOkB16p18jEIv
MyyyuOj9JB4hV6PkWzsJkx107OUgZXZQ2YbZbOHtO4QxRSKMuF4dbRXFWGyi7NqNqUWwZTQfkNC5
CFexG9mdn2IRJx7sd3PANboJgUtA3Ia10F83X3446QPj3OipeYry9jOQeV+cdUJRNHYkOJKYzkt0
iL7Uc/aXhs7J64Rw05eeTtdFeS++pHXu6q8bTcG7bSDdX6gi+jD4ZNM9VhCkd9bqvyuHPn2fnFWK
R/MtR5AHvrouHNAe1b4dvSN5rE/BPngXVvm73cIkSX1MliJT+8ETZ44hl2VZGXHYuNVJDuVjt2r6
+ky4ceMjlcrvS4QNZ22FP1EBbjnCsV2wy4NS/b7jKBdj4AO3Zz6iSTizjH2fwnBXGt6BRjj7AVVv
ETSUO5Nz34bYL+cHobh6OnEZwjc34J7twTSk1WGh0+bt0TRHZ7XqCkOO95JuYniN/Asbn/M8uMVN
aegrrnjKzo29mg9dt8wu+i8folFF+a2PIzHKne9IaImuJrLI743Uf5n8qYJylTrqEYaL87P8ki7S
3025aBx/b8/OqwTLwTW6OhopLdafZNwQN0509skFcnKqvtBY14w4Y51oeSHtpbNkwy0dSVp/Uhmn
NJ0QQ3baa4bTJFFtT3Y3RvoeMnrSnAfGkt+ZnEV8b61VGNwDwYZC4IHkJecEpHNzRTsb1kssQ4lP
mtO2KS600XlLf8lZvmg27RjO+fXs6sI9ZGD+o3OiWgYvpWe1ZE0adLUMt+NIJnuAsBuWimUjj/yS
WUaYoY+tmTr7TEdLdNGTm7121Jf9spolKsziy4tZV9X0yLRu0XzXqz6zXkWa85dTc8AKU/DFKXQe
ugEr3pXc/BsGlvVjFzT8r+6Xo9P88nWm9OQ5kPerx7POEuQwqaeRJ9Rfrs+a/UB6CqJ+lYDm2WoE
FXOUqYP3ZQp13cY8Et5iqxaWEGpO9ZdXtAAdr6infglHnVU++ptrhkwIUSq2/wgKddpQYnO+vKWO
Ifr+QDUS1D5cvCaUe9NI03WY+YpmIbFso/IPdMZTbEDD8DqK8sYy5UsiyttG15dl2lKwKvSNsHs4
6YtH6A/+AGyU6cNPFv9OcZwCou6qLUEC6Hem9QOE33hYjBowS53AO/Pp1JvK8ddx5HSPAnnalK19
25B9m4TXbbMSFB6druxUgGK5rRl+PZBi6Hez6YeYNabrTLTDAY+MHTOv7cQtjo8ta4CHHo/7VFDM
u2FSN8TOEgWAfGQYj0NZXXHpJocyEyD/CxczcLlMl1aGLh50250ljCGe3GHcZryIU5fIb1WTO7sO
Q+oFHEa9s1UzHJZI6MtFz9MhdKR9GLz5e67Vs6qsNNaJf03Byt8oEJEXxLrMh4J5boQvYgtH6aki
CHWBxH45YnByzh6/GA90zPe+R0XbN0lw1QGriOAS31td+NMawrPpYAFTvBTKiY7ztqTYg3jIgZLn
3Lr1GyGfiFEbm4mAf5z4rc92sq0OJQqZu6Yx8n2IqXe3ZPl2EZQdWRNKYuoUFlA+XQvXfuuGihNy
l4RgI9kJbYTjXXck6M9Ew4dN2SQGEjI/B6KYyyPTwTlepyzrHshW5bfD6NofeGPz5zQYaxrKaJ3a
HRIH957l0zsKaU8E1bkfrCb19Q46aP7qFgbVXYIR7d6Sg7/ECwa4YwsG4ltILocQw+RVFbfy0u8H
3fe0VX3bfgXH15/LfCarpdNKNECAyvnB8tPqGW2d/NZSaYmTppWvnMMomREHCzG8GM4dK4eaNpQm
1A+uoVJfYF7qT0NtDs9UQvQnB72Zsy1cy/q7yxOXS9ZK74S1cNpZvArzLMmGXVQQRSWzZhJ+WpYf
RlSbtyGWd8qvyji002xc+ey4UBmnTfOwUvsLQlx0Iy+IGH8lht01LprQ0iSYSQ1tw7LV+NcFxfZn
p50+fSpWt8KfkuHJUC3ZRZCjHAJ3oyCGli2tDnZzbyfAHVDS2Kttw3S3YS6yB9CWXLyQLGOTdf1E
VFx1sZdI857qiPU+e0O5Z7Gzt9DwTEzKepBPODHBiHbO3D9IEaGhHf3GwdvVpuqohpLRgJZ8E4Gq
0HrFQAMikrx0cJqpUe+CRLbXhJptfEJkQe84X6p3k2cdWIl67nNe5zj3+9HlHD8CxzqzGzLldg4m
76avM1LL2iW8ugnwKrwXAQf0U+TNSUKcyiZ1HP+WmOW8zQMTzzO9Gxgp6acOTTZM2ovws+qS2ue+
pJN1QRXJIBM78ljOQvbH2YydCJCUvQ2IBS7QEAKZ3ZX28uF14tviBUE8usNFOZbHRCx8Zktqorku
erWlLJF8dymRbQ0vOvvmcusItlNmqHjx+r0zK59YGhth7qs557xZ7FjArgdvYUrEdSSPdkivCKIL
tpl7YyS/sf+3cRaoZrGvscoSAjN6vQeTzlambtfwN1Q4OFEurYLyAh5KuCtaAE8uqzxSn4qy8TCh
nkLmpTsQqbUSEUaotNqMYe9serb1CKGUp7i1gcAaPknmBTbtcaDptMQRriLKqrZba+JnkohsYTXR
pVC5yp/bIg3UHVL5Xj3kIen4vV9HLQmKEAUnEQZ+Z9Y2FhcwvIAvq0NS1chiehcNuEfeqHdaWX/m
oqMMEOa7SpEulPUQvAypDCC7BYgdb9f4OocEB4DXEZQp3S1OGuplHPXQ7JWk80YhnQ9jruQScJgQ
Zr1XApMTXbZIf0IjfvZyPzjx7HVvFDHg29LXdvjhos8QZ2YghheXHPqhI8X/PfSUr/awbB3Ca2aQ
3AjWmle7S7zrntIszOQ6uR5I0yTczIz0XFDiJRPvhqDx4sUBK8yWIQ+Hq8xiUGYjoplSYdpkabSt
W2nQAkqtT7htGJwz4wcBYW8zNPQPQBGvgX2Hgvw7jaz6s3FK962IZHLPgFK4JUbpM8YCqqaqkmHZ
qmhcP0L1kRmRvoZqNhKLlfUps1D+Sm8K9lQqwy3hg/eBVsoBe5d3QUyXuxPkxtaZGsYgQMHN7P36
2biA52PcRG3pHlnM9QUU2nBvFyR/6oHtb8HHg78GFLOVuTtjyiZedZQGOKzz8bEix/MhtezvOep6
DA/hwaGTgeHXF/7ZA0V0ROq1asYjlqCMWk6eS3mJ6pWqfOC6/UPo4kAyVFNZRNy5Gzse3I8zuzeC
E5qu7do92FEjprSfNR3jDpxVtlHvJFdLZPQbfFTyOBe1eSbvz6Z0Droj/YW1gxAsWMNGY+Ed04Zi
UZA3xUR3LeLJHxdNn3NSM3imu04HxiWymFSxXIeebIkiq5HTg8PbeQRUQkNrkCl7EgKbl3MhqUtX
+YSVTslH4usMFAgN1I3v0jx6XfjsmR5FngmtdSey4soO52ZbJjSDbYxJ+85aThavEKARSStWHaeL
wSIVdwjOm5NKRxzXbD92s45EHDD6chlUeJTp3CKUIni9qyrPPKiagQyqrlyW0rLlIyqk+jlK3fJk
jlEwbLymrd+HvFjuUfgWh6zynL3JpmPbmYNzYwzpcMGQooFC1eivkrTC15s0XP1eV92kjKF8ZIHN
1EK+4D32RvVKtp7tSVrpXecgxR2YE4IcLnKeTD1RWxFY9SFomJCgME2ROqsrl+o5pXi6LsUPDtNh
tyn7oTvQ6+QpoH3ngDm7OUqVLYcxi/QBSXW+S0NGfVJRXuSwac7lAJ0xo2F10ZJkPxX4hs8YH7N9
FCRYsnRZ7QypkFzZ1MF9YbZPHo/4Hb2otzYokp1kUic2alA+KRuWXZ/N3m6SiXK2C6bCox+1wztF
jzkOxzX1OTHPt+tat4v9JfG3lddw6CE/K7ahJeTREsM9FuDmZi6TaU+428N9JaP6PYRCtHO7ZToY
c47Q0V/aI9NI/pE5J/kQ8qh9BgcQntCGjcyy2dUBE1y6yyLT5k30xj5sbPMx99KnXrrZpabucoXc
JT/aSARz1xJPXe93x9nrDb73/JG65dbQYuGr6ILdYId9DFWxAbTIY4dV9qEZEpvZLdev6DmbXXqr
deIdyfvjqtVhGjdpB5Cz0f55ssOXxOw9tqeMdIhelAd+KzlZWcFKYWHFZchsT8faOeKQL1/qYuBf
plYcHUj/11tP46fFMKxOmtG0bSaHa379GWd5RQygpo9uZQeEzM7Bmrxvk3TqtZ9f3btwuu47c6Fo
yoQHLyw5+gWmLMCXQBN5iHQ4pZdcvBimEZxWt1fs2mNzKpX45lljddHRKjrh5vrQ7XAuU6IGndfY
O2+gwyc1kfZlwO6ZdsE7G+UfHr6seJqLO9ttxIGl5lDRvLtT0iu3Zu7O2zZtFjZNoXHD4cO57WYy
eI2N0mMyRcT53w13Jm5silbjE+fpe+60fM/UDYWE+Z1AdXtg0CzdlprV2PSTIc7H/DIMxLJlgPQu
NfUPe2r8yznUzlGZ5Ws3R/tFdAC9Rp0eyrabjrXryY2hUrEt3PbWt/OZHlqy93LF5ypCdeMXbFMj
DL9nbYaXdTPpbc84766jo3k5wgndFRFMNlM05Q2BchBq1XBHjmG+QWHt75qgg/IUVUdpsIgY1vQa
quqtgHO5tWFkvVSN7exY0IInhIPlsTPmbxCvNEBuHzo/eLqzHOCTmnLvh6PNTab5cYLdh6ZfBIW2
6qG2W2dP45qTGHry2462r5AM7y75dLs01n51fBE+QNyausWZoE2PClu+NQZJmzKdbzKHNk3b080R
9vxhddPaxJTUqNJRxZysu5Ndh99yb6ackcG6z+HnMbkXXKFvsXZEhUpwaIF5bVVeEYslPdOsI+td
W2wx8pRpz/qVKYjHcnacQ9UEF6GJ+DHIc6INAcxxtgzXRbScGtTOtTDybW7zeROnIFE46T0QsH3A
Vm+jLXxcppm9+G5NszXr7itG/QhTlvka9/XiQXU+M7+4D7VM7wqbmJA2U5BfoT1tvGE4EK5l9cua
Z8ks6q6vksvRm/dO6IAjbdQhM5abqAYTHkzda7p2PZtZfctEFPFg7e78yUUeYCXT8wSw/Zgqypci
GsHpz7p4Jb30mdrNdQEv7uhJvL1+Hly0MrsnePA9W/jKZ/PsMv2A8gEPeFrlGfipPI/bYSpfU4vj
RavqW2WKvR80ahtWFqrurN9TFyJhmev64ET1I1XxG7ZwBIXQmMUF4LJ970WnJqh+GMogZjzSR6R7
2e7bDvtbY5DIcUpxpZgb3YyZuKja8MIkWn9iZrvf5VjnN8T/hx0NaW8/ZLm6MTy2RUFOIkVJdOXM
RPS4wZnE2RM85mfS9ilJXdax6HKq2243IK/YJul8z/QlVLoleaRXeCGT8tpk13BCWMzslbEsfMD2
N57SbyVzDrE1948q4bkD65tmccrHkaBViPtqamMc79ZWpfVJ4WOYdfIiwvop76YcDXc97UhUPLlZ
5cRFyx6bsZ07FJ8OaMX6wh9q+8BuN7/p83FnF8uJgt15tsvLdKofRM3okXDOIwXmGGbkMUfDWZYM
l8nhlIf1KVLFHnneJWraPWEmj+wSqk1murtYUmooc8r2JvkH7cJWbspgI5rlwyICwIDOyZ0J7UMx
3rkUcavauzWTGfB5WlBO8MIb7Ro4BeXBqji32d7CMGpISqFNfuKXF3FShqckUwZ7JGnFihMKc/kJ
g6VDM+cXRETOSx381Bzw40Xk8lSSWlVVK68Qax4b19jaTASTjD3ZZnrhUcsRTb6tivbUjN7ZcRkw
9m35c6nbC4aHb92ovCa981Z0jneVRonYU3HlMdFRzbLYVTE9SOUqDQ5j4FxTu+p2ViXf+mo+DvLH
DKc4lNNRjcsrruY3Ce7f8YiTTQ7RjTE8tc344EAyZhq4fKqC6JJ2bxzNyxVOhlfB9M5Ik7R1myOk
XhryDFZvaHUAEgDx34T+FSJFcU2A6CEIxpGB2/xyyPsH5BbUdkVqVY9p0NrHioDPjjjQM/mad19F
/lbYTGhq0h0Pg3YiCr2qq09kvjjJzZAw7a3LrH2451hbhUfkHOnnHHhdEWeVXd7l4Cf8vWG5vdjn
VcDUWK1aqn7a9O3XMBJMNq6t0HfN/0yehcHs9B4GtnAYOavCQzAl/LryOxJmY2iVxzYaqXqFobR2
JqdhcduX0H1jfCaDOLs8qsVL1lt4g43syNw/2b5CFM88MkP7cQzQNjDgCcltkwkpHuBhgJXuOonY
QXCQCAmiZaA1D1nuLtteMEcMvQE5aGLlT7Ivl2jL0CYHOp7F3Phd6F6ovO4QalTEvshiDI3vfk+L
nrHGbAnFw2RxqEopJE9xI8e+5Kur3A/QoQaWRJ+78sGMRD9dEffJT1r77an4P+ydV2/kSJaFfxEb
QRvka2Yyjbwp2RdCJanovYkgf/1+1MwuajS93Zh9XqAx6J4yqaSJuHHvOd/B7Liq2n15IpFC2qcv
Ce3/Q1N+h6Z84er+d2Hx5i1J336fhVpff+Cfo1Bb/vGlJAcTT24h2mFmmv+kpTjeHy7sXnw2kjR7
xqTohf97FOr/4drSc8VKqLclfhmcKv8zCvX/sG1hQYFEbO+6ghHqf0BL+eYq4cCFf50RKF1GZMbu
V6Tdb9J9ojR1QH8Mi3gxJls6T/6DHpTaUsUl978Jrm/+3Wr2TfH+j49i5kuoISYj4aw/ym8fZUeS
nFvbIuyo7PpNb6fODhevefaffwpV2deXscCrfBvsIgZsOyJeFTWrJXedXTcXNmkW13/9Kd/9Yl9f
hjE5zl5aelhIvhtHVDZ1KBYQxk1ud8x0O18MqRyv3DF2D4kmbzZDLLohA6ChVBsmXvBxXJnE9rzN
5791Vf3ZbcQjhygceRv+cJ6l369t6lcMD+qZROhZo8V08uJcC1nt06LJLv/mq//ZZ/kupjTcC4IH
+Js9Yo06yuTMfSQp6ceYNw7zZ/uwRPnRS92jW3evY6peRzM6oZu6r9zxWdc0howmbIf8RBzO32Wj
mesn/iaHX28GCDUfKwViA8/97uvyADjkjh+vdUYX2J9l1ev8jN72CL2EPlq/U21b5fs8XUrrjula
+t7Fo1GH1eSYVvjXl+dPnnJvjS3FOwXTSHy/Ey302mReH4xk8DiYc8sucAKNf/Mu/ck9+JdPYX34
/X4D1SHIPePQ4Pj0fLVX1wheF0ghpEXs/i9fCFG8gxBuhYL/60d1FKkRnF4FnydO9laAkb6xqPP/
D59CwwgliQ0z3PvmaAjiqSkAgPNQUcm8ovjvr0APeHd//Snr3/L9QVlXW8hQ0sXh8Q1paXCMaqay
UIxbzOyAuyyRCD7NOIydeLgQTZpfWGPTnNlTNj385x8Nfkv4wIQsz3G+fcHKAJ2tSio2mzrjUpuu
etOxaZzcInVvSoPmTAnP/QaAntz+9Sf/+xOJtI2glADZjCPc4NtSZajYw9fNyCvznfYyy6v6SI+z
P/71p/z7pYU6tN462n4mY5JvlzYR7eSJhlPPaDV3wnPf6Az8YHx5BuWCo3c8HKXT/cPdhCcp/qz/
ZEf5JuLhvfe5mJg5PRunvfS/XVPkxSpuKXjJbdApIVvmOPSXQbMM1bExbU6e+JabZGf66SgpsPIM
/EXuBdnjX3/1b3a7rx+DDc0lrIENAe/Pv74hDMk5gOb8GD55EBsb5SNRWEkbFrFCmjh07d94ttdL
+a9PsY/NyBEmKimJZGFdHH7bSGdziRDhF5w9VZJsLV1mT0UcR9TPkMMThKVMKezgb+7vv684vuma
PkYAhFnC/e7xw36aQato503ErJE5fm3QjaFp22Tz+Dcrzp9dT9fmszBKBlQn31YcW42LH7k9iWeL
DVXNR6p5t0QiF2EUpFW5N7PF9P7m6/3bS0J9torBYF7zuf/I+fntmmL8wQ3oIo6kgWdjU/DbkGiU
/G9exe93jg2TO8Y94wpaNDa/Lduod81SNIwIxihikBhMAObi8TTbctqYWa3v4KT9TT0U2N/v3Pqh
PC1EKFEssvB9u5zmNJezY2MAs2BcFGepP3VmT/+fBeOzxGSprhAGMBur8XnoVZxF/vppoPEd/Mii
ueT0mvWZeRfMTi52sT8F9THzVTLcQ5dfSrpg5WQwoGW+/OK7ucDAEHCGNo6aMZg6ry0ddduaEHf1
Wg3OhMNgQGaz3CBu8rJhi+RnaT8hYBF0x2mQBvtlUGOq3nSdnZhneTyA6sehJmz7Gi5YX8FTqCw3
WydKrXU+OQw3Li05Ku8yQQfXhGPpML9wMURAH7OXvDkyrfF+uQDaKlxvtGJCzq6GtfXilotSIUOj
iussNcDJMNr5pUkY9JzlQcpsmTSjaL5wqm6M720SF1Li6OegIgugReKf+Ek6hzTgkwYiTqzeXAJk
1FY49gLqAwf7S5niiyJ6MnGQR8mR1CKCBLUIaVxIbw3EiSrsQUuzPI4Wi9lGAk3j+qWwNUiGTFv7
uOTd8uh2xaIOFgpEoGdOkP4MDA/q3Ay97xpkPxeoU628GJYUr0JHY4Cxm2EgdQgIKmS65EoBRc5X
zrYMaAHeWXQ8hp8UQT1EoWzUibozV5FjG7ZzMRIqB0Fpnl8qB6VZsg9SxJG/WjEmJ1vj1L1SanIx
g1Rz+zJ1jTBBC/nlq2qd6IMkJeBcCUppk5wklaQYkNT4rjiDZhhjFpqvMYYV53yRjKU3WeG4V9r1
cUC5BOreIo9c0SJx4zSXSRSVXO9gNvZkLsYMg31V0fFrTCRmGjE1zgEElr8aTsHkIo6mpDVFC/dN
6C64J23cLLadcCICIl3yc7c9BiXkIBx56k2tiuUWiGOZHWSV0HcLsGW/p7p3oCu2kRwxAHXRa9YS
J3hW9NHwsCY+qt0IGMLcwT80HhXHmfsCFgP3q3Tsp4aHkHHYnK79gkbGj22EZ3D1UuSPcZqOyX5Z
GFBBaYxTdZHPSOpFyZKNXG2SB3celNjgnigevMSdiu0gjeQqcrvA2UioFZAZM9LQQiBUSAFplyR1
OPTGUhxQ5s33CNhRy1hNPPzwpdEQ8OnXOqL90C1PbSrrT+JCpnLHhkpElHZ8RlRl4NqPqskHsbEx
cJ9wWLhgyEyQJtsM9dZl05LesvUIVIkYcaKI24xr2tMyrcFPjsAPsZm+AqGInyEcip5k3AFY0TyN
i8ZZcKzJ2yy5XzXJlLaT0ix1ijz48A07TXZjYhPTSmBrQ/sXsp21zaPZuYSj2cCCSIEdbXO9ZjU5
pUtbTxL59WIbbfDsGyRkMN3qUtxLvW12YeTQW92OFeOFDeer8qGnGwgAsHfFsEHC2+Ie9dwZtocX
MwYYcc9Cn/NTvKpZ5Su1Tz0FI1IkyCBo9Sx0y53eLutL0xj1Y2Ik1TUqBMl+ZAy4Axppj8WmXkqE
AhpV54zSvyLJdx4X9RG35rgdQaVk9GwbmZw1WdM/ljw85sHo59XpZ06LYjaF9IeEjLEKZZG7v8gi
w+o3+BB3EHy2A9lYgQnVByln1e7iFO0kPok5MunKxnj+WKOS8nauU1pejICnDD6F1ehDKxOPaPbK
mxB3qdHDRCnJXt14dqfMUNuj+1a7Ok1OAv8q6trG0Y/tVAturjVZwy4xp+myCJQR7eOsdtttI5fy
cchL48ka0DdtIOsV8U5jYJl4tpmVb+esJFOknxJYYtjSmhsrmpx4544i/6hSUiyNoawu5siI+m1r
TDRrWVRqmrurMhcJLnQmml+Xqi8R7c5ck11ZutwbQs7sF9GnMKUmqmTGu2XlXfkjHiX4j4ymt73M
kV7009A9czVoBcvU40komAI1uxozVr6rhA2aA4grtgwaeCLYovRVHuJFlAihP8/TsK2sirb8PGeF
QE8aufExiPyRv91I+kPl9nF8FWRDeeW0+Ga3ngxqmxCczr1LPKK+mflVtCCjMW46BmjGnBwFg8Pm
orWW7tlzW7vYj2U6R7u6KFeNsW7jjxEsV79Oja0MitsXCmzwIaqZsjMBXPmaDa43BTbnmFX0B+65
VKEGnxMgo8U0fGQYQxhy68m9zo0VcVmzSABNEMh2dvQcuEQ9Gcds6mJInpjLwMmz4lHCi7XRjm48
xSEF7bKd3ZtWln9Cw/KtLSITNvRxUJ25E106415p0F0rG3/FzplZOo/QGvCv1IMLWayrAXoZXZtv
oEoNUchr1z3hyk2HnR5j/Oezyfx2ozyfX2TSl4B9mt1PLU0DycCwJs6MTpeYu3LJ3fl8ArLghgMc
wZgcdcspzsZgtucNu2T1bHUeTvasiC3/uAReZ27rqh+WH3NvBD9Yi4C6YOpklhkZC2OeQdjvtAyM
nu+rV3kXZlImE3BIrqgdUrntLGRSzHgZfE6WdMPIVX17pBHGKmxUw1wfO2HA9gzQ9PPH6Qffdcs6
suvdtks3Fr2EHx0uiE/aQNgCIIVIeLl9Yh46ax5469Jsnfo2Y3/rsPUxVnAl6YJx7XnWcSg867OJ
5sDZW5gm4awscYnf20niD99b0WdxMUbXKE2jYj/ZaJG3vY09B4Gf9hiFN3SNx9bWeJv4iZm1MxN4
iDtK5C3BkeI46QZxOVuff6Wg7JinmHuS7d0eajEj2OrgJBPDdY4W+t1OW7y/OSM23vUarfnOjgcE
l6brsJw7RtI1mwm9Zc2PJzX7QZTQrc4LwyfvWMJ+wxhanaXQx2J2TqW6rT86cXuWOqWNIEZQrG3Q
eUkH38AaKI2V0HrwOoRLJBWZ5U8LSQ5GiTbmcmFqLh+RWSGEbqYqxbctBEFFZQlWMkxyKLXXJW0t
jIB4pdTOFn3evvF3gXcOOsY9O1foCRMZI8Vy33Um1Cg0K9VPbVhMqCVzFDQ99ahMXhSDJPNNOfXm
8LR0M5coqqr+oLxkfGuxb/+Yx8Ym0kc5CPAo/4L4EtJXpQ64vGV8TkB55IQz6EXvTNBQ+oBQ4mAs
dhaBA00CirJBBeALiByxZU7XW9gUPCa2wjcRiuiSKUOXSyTbdeX9CmoOVUezVxWoJxr1FdUk6V5I
lvLlmSBH+0J7bnNTN7jj2E91R0hmRnDYLpmQTO5IqG6YXzDK2hFSljQoNZTzmtR9YJ0PyZCe5yLv
zlNdsnyTViaRLTW1Sc0YDf41h3a1tYLeOqoqCXJkapX1kMJgwM3ayfQ5cxp1W3ssYHRKJvEOcM4k
pcqY/LfFnBNqij63H1Eu1N2uH/Skdp6wiE03k8S6tccInm3P7T/3pjj50VdUzJgDl+6cKWpCzlWz
9OEyqdyHsecyk3Yqo7O2EbvYacry+D6dPPkZDcZwl0yFvF2WyLzvGEltaVLjZfQw/3J/qoEssjJG
FjqZwycZ5yVwPpU5FC6BsVwZ40oLtjo3qbB3V8kP1H4TUoysesUohs8m8hK0eQlicI9lJPZAMVvp
6zhr50lqY3I3rVCLdfAsZv+HOfBBQbQKdmnWNO1NVEPmJHk6Xp/9VdDaL41vhOzZ4zlONfdV5Wnw
SdepfrO81nevTX5+VsvIgK8Kr7Q/pQyq1Zku9XCLWsEjUjJpklc30n2zyUsrvVsoMMiuL1O2fNeY
fzi+ADSbfwl3gcUCJsM9iqg3peSIr5QlppXEnKBjwxDkLtthavhVGgqAzoXiULIzSgTEgdPpKzUz
ZNyU+KjnEHsO5xGqMXlLcl2RbujcCvLC8nEiNZroeh8NjxzmEJeJt8b5TRlbD9ZaFryA/Hh+v9H+
TAvVY/Hjd75l82Kf90GXfmbTNAcYXhIUZ71aArFzq8SX2xY/CiDawOru4UzQvDZdu/8oweM8wR/l
bOG5PvhfxJTOgeMPinIsnNbd4PqwQkrIUfm2yislt0YWwCwfYyHu0nRy8MJIFElxP62K3rhOipA2
fFaHiCgR1vgR1LZN2vdOf8R8qe9lauZ3+Gj1Z9tb/qVNDrsM5dBOj7CNxugLsnA3Ms3mM4og5uCa
WzJZwQP+mcwCnixh0PTZcOCcEwowVlljdOZyO06I+1CaV/67YVhJe1EKWTwNqPAsdta+/GkWC+LT
suvkG5gVkRwcO+aO1l1tvyzC7LNDQplDaB25fxSHo1vK0BBua7HtasT9Q9PatPXc7LGPbRbBNJob
eTSSVA17nu7qakKc3J4YZkhnh+tjPmg/wgzaZEZ3D963PKNSC2zGtB4/bkcNAGzPnYv7GV233Db9
OJE17A/pXud5724bmOiXnFuT987r+qcJOy0bApxusSudtsGjG1kT26xR8JCbKfzQAJbo6xzkqGHS
VGbwWNIy+yimygMD58pVHYIROdslXRGkYekUsT7rMgLgwhQj2XvbuU7L3m/K+Fh6Nl+/jaPpNm/n
CmWPuVaigmHMa87rmIZp5c0/+ZuXNzsjtZZ02cVaLRVFpwjoM/riAKM7r7fBYPjxNYzUVS1oYfDZ
TOWIHSuBiP6DcD1kjbjZu/e6dVLO6ISsE/LscgCmVihTe++iFE72Ko8nuV3EIM/wLqvpAuJvxGm0
BMTBKo778JghlMET5QTZmzFo+WHkxM5up0Lkt14rPE59uoK02luGf2ydVk7bfkmmfOOiojqb29Ij
Vi8v8clXfs3/Isws87M4MVy5a5rR90KNguQBmZs+n1Fb8mwnOfiZ/dCOGTiMeoGxx4wgXbnBQ4YP
gYZD1sRHOPz+C+J5/ykHfvJsd3VxZ47tkgPURQeHCCYd0m1RlonaJmnQfiBaphpMsTeizloqj0H5
TOm/sUUEtmRm2n7WTQQbb13dcdirA+FRhutuPqdzofowX4Lpbs4s4y4YUgf9Ud9z7EqI2nv2Zmf+
xDnvs4QYynqyExCFeEdkcTOOqduFEJz7eEvm8uSGhWPWnxXo6l9g9+gUDSQPYjz35ukauNhKmudU
tuzcZTGuhoYUzU1pO+PB4oyFiMFCnsvdqLoK+YibsWu1vQF8i4Il29bacOKDFywC9XsfpZiR1cp5
RBcTPzkyiMVuYQSHEYre1bzvSibu254929xykFwrSCeCaUokRNHs2ec8vZlUZ6Eo8frgY3aLlnPh
IK2XueutLGzSKfvpNm6ScSxZ1aNgglM0o170Rq54/qAIe77rNEejzYx1DArpBMd61aW0kwLOHSmS
RVsRB93JizsCr2d6OSMNr2Q6N6saFggHqe4dDG/0ZuOuvOWFJsabw6D3iry+szdy6oIXG8DSTO8J
V8CmNeboFw6H6MmO10p3SO3oCtc9XuuiTKA9zKVvQsnUI8X/oNjdIrreO3JCusu54zVb+zsc+30i
GB/LoFAv2qgb1Mn9IGKuZjUtrI4DYrKkLt8K6pOb3NF0ORKXORniCEBEYFxyaBmmtqM9yusBdR4n
r5klN4uL3cxefOEM0xhXWxwJFtR6taaefjX1/1/b8Lu2gWkQLer/Xdxw+UYI8aGr+77+M2zaP/74
P6UOrvgjsBjB0oiFf7bKCf5H6uD6ZMYEHtZtCVuUAzIf+t9SB9KITealzDPAo5lC/o5Ns5w/hOdj
EpeYwgMoqPZ/InUw+QP/OjlxBNmA/ONZgGSJNZLr5OG3Ln9kWymGYxjKXZG5kKhQUT9AMpAjMwUt
ug1um/FzUu38nI1CbMU6Vt8EY2ueGkvpbS1JFXXsWe+suJuPlcrODUzFT6YsRvBTfn5DF2e4ApUc
bTsdT6ee2AzkxnUy3Sa04AHjJBXMgoD+1ywFi3kaTebrDBAYnvCk7jW1/5MOqmSPCF+fkb/O8Reb
xaZipnxDersjDnZaFw+0sHrFyGDu94pWm7cXMiatPBh7+WRVAwTLSmLpZO3MX0xGViabW7Yc06St
P5ij83O3jXxJjUHugOLe1Yx/ES8v2DJ9UzoPPbrzK2fBDV97uAEpHSiWlDKNc/Ynmh0EWaT1Lurx
zys965+0V/wDIzLj3MNlfd1iir2k20H7hrdzPMULySMbZ2gN7/nLeIMH3qaHEyGKr7Sf7pyWHdCB
6H7tTLn+UfaT9TAabHx5PdDhEZFGwqUyxRXzFZIwguhjm2pX1ywECWRvgXrlVmUFrkxKGfoeudE3
a2CB/iEYgH7U+foFGbJB8wf62N6rwS8OytFoxdKZ3mzWpRCgksBZzpUCbAJDx8U8yrdbvUTQDNAZ
jmW1Q/6KgUjwb6lp5felTbQurXUz/ohsYyXITHM2hz2NWPqXc4RrXxiOOlPMI3cE5dov6GCja/+L
Kg+GV97givR3ZA1lxqaTRb9zxBicQxjpOU4LKvCZBJin2TV5dqxZAeXSkboZ2IimsMim9Gx2XLzy
DAr7Hbyc+pY+lPcOhkSG+Rd138BrPvQllpjiWtXxPO98vzaP8dCiw4gdGr8mw8Zrv7ATZhByONRs
sg9YCXJaNOC9MeZ1pty6uJahngxjdIqayL7qTLe+oOEib1GBJKfK0p+ImJnKFCp70v6YhV6KNF3Y
ZfACycN7iJTpqI1b2u1Dn6PQJ921eKIFaycnQji4Q1GrKGUcs7rwMP+9BnoOjKOgU9IREVBV8Giq
pQzr2PEvv/zDeONmmC/4Dt5UMhb+de3CkqfpNRU74p3HZ7sap+skLYaK71lky3bEVkNyhYl+mJaP
RzeGicV13OUcZQqvaYowK20/PhNuw/Yz9E6WoWv2EQn3zuQfmO5mmuQW5NfnTLppS9KG8OVJee4C
RIkwH88HbaJ0oA9AEBDiRV+iPMJDcOHxSCRophN1A9sF7Z6TuZbe6rIaz3D/WGFWkRW5wd4Xh0tB
VzD4Uv91iy7qXfcPWWBrOvq2oZb5iGs0oNWXhNBlVX1o+DEPgBaKwwKyxjRyH8bf0PNb3NQNs1Wd
KL+EiupLtNh9CRjFOM23BWfj0PWiX65a1Y71l/Kxoa8gUfSnUXwT+Ks6sp0c+xX6yvoyfIkomSD4
B7aNVVqZk7F9pyp/lVzKtAcaZXF0qZXPSpF/qTRja1VsKivDdRlpP+8JMEkRdYopp+P1JfV0v2Sf
y5cENP+Sg0JZH+oTutu+OBqi806lL8qLASsfVdQLkyK8SXMfvU+S08NmEv3JS+tbMSw+DsvkOS0S
bMg6CTPT7VHaO+/1wBIfocf/SEqaeqMdpZcuepMrNZVH8gKKcBrmxyHxH2YDYfgor+a0PxtL89L3
i4sy8T/8mNwCM7uo7e42QKrN4QKOoK29o6DKuS0GjKiIMG5bne27ZnmKYvs9H/uMCO4u1LG+5UrL
Pfj/bJuaXvmjnxz3qTUwKHOfpo2FbPQAHBNKX8Aj44vxHks0borA3QJue8dHe+5r4eHpL0NDOi/e
HNwNNM7YWu683nyQHb58YfVH8hCuG3qqkSkAGhSHrqmeE5lcpsl0GajsZyysCy8Y92v2BznemAQI
V9oP0XzHlO9cumPGLw10KoCttcNFUevkprOCfbT4b5XFhtQGdUcX1P4JavTQoOk6S9FAs5kIrjVT
dt4ADn4glS4MDOOz4bxzQH2uWgSysX9vDmrTBdYPVQvoGB6QC+SAyKH74RRZ6sWv13O/KrpqQ4CR
3qRuOr+lJfYm9p2w00MwA7W0QCHSxnqXvTRPgoHotvc53PiWT0pMEECXYthUYy4+gkF69PXAhgDJ
YONQj6NZy3o/7GOBazNYHge3WO7gaitai+uGR98G++L6FFcrEqZY2SIIC32YdmATsqz1D6OzkOrl
D/OTrTJxFEw4D+XQ5/TsnSqtj72G2wFt8CbhHd5j6wuek8rpSLDGtkJs9a+YicGOif3yFA9+vJ8k
iUoLYXBdX1rHZvAZmJpY8HFXzYRfuWP02TplhcUfsUAqJnlVNJMRCtb7ajcllQ5Tm2plaOtpP8TR
ReG7IA3WQCIt8p+oGk6Grx+NtEv3nGOSN75JdwvH87ZiPT46bfbLGI1px09gH6BU/fQp+bdD5hf7
klN/SBreOlsm832T0XQJ8em86nqkC9VMpNU4dXWikzSiTB7MnzF80W2xOBf2VJ4bnWntGtO9j1DK
nEoxvPZNwoitQp3Ndl6YNwOomhBzwyGYhrsYBKuFHXg7JU5/NUSgaQpapbt67k5p0yLs7Kw7koeO
Gf2KbQ79YkNhJHaFE+fHmioOT6k+NnaU7XnDQb1I0zvrveYCQ+SVkQ6PeZF+CBu6e4wjFG9ifC/y
5geqvbCc8OZZLQ67rbc67zZi6B+NvLfOWDq8gwVaFyhOjuXf+dlMkFtLjq5yNA4+Xw+ro2BRaU2W
fUff4UaKbrSphsPKlNnYWUQuDRpNml/VR5lZJ2R1/CHCucaLWi1TWBfDr9gsDuWYj/do0nDSmApU
6DK+emSbnbyiXj7JnXJ3nT8mYbkS60fXhYGSLGO1TVV1Ypv6OensJyVRMXPcHi5tPy9D9E/BUZhW
ex0niXnV+4k+Yn21dgmZRyzRE4DBhXtwIH3hUbcab89EqOCihLw3xMcQyDK0DX9mZthcwER41RWj
z6lfgm2mjPJyolbaVnWKr9FHaJUyaJSCfiXIUka2+RVE3+U2rxlJ9EF6RuMUfqWenbBF3bzjKyyM
O/ormB1wxxgkq8C5tyJ9HS045qXb3tVDbJ+A79chSP8w9jgtz7B94DP093WUnDg5uA8FtEhhj8cE
juSGmmpLyUa2W3lWzWjRlPnpYXtigYbUxoAcFR4rZbbaFdBZ1Mkeh/3WIF1vg8BLbLADm7taqpVE
qp8N3eMemSAr2RncFWQ9cNuC4bycF0YySyRPue6v7d4oNjzhZDM1a6vxMPv1wTCXl57BwyZI8uFz
aF0z9FYi0FIMLz4e8Fs5ZJ9cq6uABzSznAs0H/neHyR4Qdi0WruU5YGNB6mom8/AGq5wZu5pxp9n
wnpsKqhB3gzTMDeqHpYnO6qfPCOs+Cgtle8ZMpKvRI6D7m1+HhI89lUh07PGCl6hjugD+MuL2UDM
2ZnTp98wfwWmBJaHbjAdL9veMIH4kRa9oIMymht3ocIzswjv4dKy72e/IsP5iMrlWS9tGJGk8mB5
RZjINkw6WW0kPc79UuriYBR03DwTY0fsjoesQkmyuN61bnR0jspr1UgzG8oEtsypFVAaGtsNW2u8
xAIRn3txijJh1DHQw2jZkaN3zL0ZK7UbPzL2pSdVJw0gBpc5t2M8FXXr4utNYMutEUpceuvgtox+
C0UNa4kluKLR2HFEW1f1CUWEU8lhF3k97c957AhHkt5FyXHoONL5uJh7Jts01iw6a8V4tBoj2qIj
ikE5YtYl54xODDEGZyJhe9McXk6l5UJHjtTJlL15nhXr40iy5jMijxpNNoYZN3dCBtEH3BxQCJVl
Eb2F4g2IzVWZSkB6WvpbWDtyR0TfeAtnlf9crfxOXIMQde18b1APHeVSP/LslnvAj7B2qp79ZjKz
cxY8jCdO9ryQULIZFSascqCA2ylDssdX/VpU660Qcx1OWdLcpGlHthbTY1E44k2nwCmwv0c79AyH
2GKl5nw7HlAcYRsmcalp88+qWK6coO/21dygMhHmXloOMVs0tPAhi+gM6mWxX2BtAx5E7FHnKH56
s8l3bbnWTpG+Nfz2YqltwbK40BRtBveWNRWXETIXbIfRALgzTW4ZeecXwpoCKnuk1VE86dBd6II2
XyhGBkEEfMl3okrZH9v6CiMs4R2apBraXSl+uOUhBsMD54fBSDVhTmyHFPSK1VxPxty1aJmExMvD
i92ZBbgR4rnYZzCrU3lEV0vDV/BKEQogTQ+iS/AW+nzoJIx3m83nbESAHmrgXlAqKwvl4NxAdjSy
A5AUlPij5z4ThXTXsdEfMjiz+8kpTPry0znaXKQzXfdqp1QswOgQO0TNMxPe7DBOsfWQkOgX1nNJ
69yIxWGZYnVuB/MLrA8wGDFPbJLMd1Q4y2dG0saWhnux1wg9LnmRrmwi8nYqFXKfIjI4CaVxDTEz
PxsSEEWgZd6VNouzYfEeq9npiaQrxUaRHfvoMsDeFm1agy5yd5bjJi8Dve6wyIFCgp5T29SXb6hq
XpuKWNGkDTDEpVvaKOozaejHehlD+ti2XhgTNmy8hLYxV3V2loV6prLm8WZwl+6wFEtzRJ5DvVX6
E4Wy3+zrwBsx8vUDo8MJhkOwviPVckuyxCs2axx8uh13GTmFG9mx31fRHDKGj46Vdrpr2bktLt6a
rV+YF7RorVBLuM0W/DPUgf42zaSNwayS4ZCMI/wDxmpT5raHOgcrlGEb/VVPdFO6aAr2kMJgfBTx
h9ZNQg+AVCxlOa+eaf5sPfnRYTnf21XivFvOZDzlZYe6XMXIKQO3PFNpjt+zbUC9MgjepINnYtBN
G4IC4bKLKuL/MzlIEkSVXxN0VfGZPcFlgn4/J5XgQjrz+MaJdcYiuzpmCQQ7QJ6G6V7BdfZV3e+a
rqWqovtGMylIiNcazVspDPJYJZiJ3L2Tfn/SfF2UBH558IrsxTcQ0m6taIYKyK6NogzUv9WxyaEF
3Lja+UmeGxv5Gk8SZLn50hoKVVOu75YuOdYcs+hK9dZVoPAzeohBmPBjSWYGfGHIjKKO9cSMC4zu
gcBpGlxUTRc8l3F7DdiM2L6cEyNqnsb8EbXNwsAHW91G54ugrMdxSVeoSMSeSVp8R9wjCXnk4Q3D
BtwCAg/MotExLrPgZ1chLa03XdMRd9k1bdwdWbHa/qJpXHZ4w2CgyWhiCwEMSqBaoX4+OsrlmFeN
1zOhBb3RvwsbdNO5D0OvRaIgY2fX+2CaN2MjCNvsGIQ4+Tz1DDKkE/WP9ERk34e1Z+orE7AI/XeT
hsEuNhAtbRolNYqXpU0bXsxVNzjazNZxGk+HBPVXubM7F5jMmBCAtlM2IrYbhkwp4Af28fOpI/KG
btDs41D12tVHitlx2uipDPZ1PfodQtuRYAZqcQL9snTogosGcDJ6OohD3Q6TpIYJBid8zAMk//ZQ
5/RTIuREdT4hSqozL+XoyhcLde+mBKbW9mRsybiKX9opa7EjTjbGd83fypCqDOZ8Z65s7cwY2vYq
GmEDH9DqivpCT4mVPSCvMtqzYFDp0cCEcykXZges381Y7Ab2y+wUFBHdPirz7IfwJve9HdAIbnOH
ThgOHI7V4J7TwAn/i70zS44bybLoipAGwDH+xjxxCM7kD4yiRMyzwzFsp5fSG+uDrOpqickSLeu7
P7IsrZQUGAjA/fl7957LClmtnQL9UwP9f98bIWRIw7J5EYeRdprpCAVJWkSFu+0FU4iFQQ9gBraQ
ycr0QhIapxdFdUVWdHanHDNMtnY52x18Wi2gRBifOXtGM/EqSfoVdBpjCxEgcA6pUqgg3dZOnbUC
ntbglbYRmTYVyFo42gMEJL6UdVmDk2Evm44gJ5cO5Am9Y/pbdvquGRRpzE45hiejqsYX3F9+sW0i
fTy0sUXbgye629pe/ebZyb5iyDYk9EJKB1Vham8C4Wx1md+aWnEgkm2Di/scSvMhiuLvxL7NYqQV
xRRhC94hiauY2RlbnVEwzGTwie55X+eoU4fs1SnbR68ATmm1t8JmQ9PAJi6FDdggYzjTJvm4ZNKy
JAxjYSox74YvtAtv4HudGgPiRvcGMfYFfPJba4yHRvr23kZxoe8IgIRWVxlNvR9LxryK1OXEq2pc
sz1SqGNfM8m7QwV6KG3Q2XrZ3gzMlOyVVNkTqjCeirDTAGPwdKZ1DMHa9ZWzYnuI7XbZy8h2zsC+
Qd9NHRwa0Rumt6nKTqvu8I8717XGA7Yiq3OM9pC3+Jm8l71YahRqyT1wqW95ghQ2cSP5rohgdA9g
SiiAESPY8zZZP9Iu6d8qq0XWGA0TIFfaeIy4kLtp0a5XKXEI8KJSfecbUzEt+6mJi5WUYni0/AnT
eKQANUHjH6aT5DPHIJHSwTyMSJSTXe1XVr8a4HRIxlxMcLeuVqypeQ/txDqMwmIS0SlP806uyPvw
XOaDNOmgbsXhq1lGASEUtmA8UNdhHl5okYHyonZGzqWN8jt3YwW6/j1JheAFAVUf3UuSjfcda6t2
It6EIXfNnpZu/38O1sRv8mfLLl5bH0PIv5+D3ZQN/aVfbL7//Jn/HX55f3ie7eMow9xh/GPC9U+f
r2P94WH5IBqHvCAqMOwZ/5x92X+YdO5cOqiu8HXGMIyr/uXy/QMb8fw34hp3LB+Ry98afQn3VxeI
7eATJmXKtHiGXGY4f/75T6OvcECHjPG2XKa4NDOkn6Z1z5aHqBJGYUMfKqC90/p68prQUHuHgojW
bFA/nHqAX8bIV5aiW+CDCJa2wp9DbRjUqyKmioD6rRtHGCzE8qJI4Ew1mM0FrINMUA9C484pws/0
w4IzU2Mw3wQ+yONoh/W5i9p+M2ETWOcMjn746Oo4qPhavAfRQnxFrT36bhQf50DfWwtrPcN9us6v
WRjRLe8ap7qA5Vk/B0jXLmPbLm4dg75ZhOA3WMgq1DfsfbBnWUpGd1kaPVojrXLVgT1uPKC4QlSe
65CoIpFcNSFxQIbUbXKX40HgyBtyZv9AS+KLPDBTMC95n6w6s4PmgcsCNkDinDQZeBuycNmmo7AP
3kKWkLt6yhiuMyQnxsdshmFLx03uR3rc5IMbE/M66b9HCfkBxLhY+yyET4QvoPDQVMXTFUrQdiMA
Qv/Zb9I1sCD2+ICR35k1V/EWv0S8yXypE1uNsCkmGgf5Hime7PIMchb6xOmY5rK/DN0UYnHSZdtC
q9IX/ByQ3+3Y2Pm19sw4s71wiVvc56IyT5OYIZhW5Yh9F6Ta82hSSKMNhyVsjmqZpAq5jTeMb71n
Rw+O3mfz3/dINMiPHDjqlZtGWrV0tFS79QigeKOvBGcyhnZCw7Hf+5pZdosEFp7BYd4Oj5B4epIQ
snJDOWrxSwebSbDt2gwl6FjngvqZWpnzhbXWvRZ+ka0H1goanPeYdAKPRmmTRx8m0Z2gtIYJ2U6b
lrEq2JrI9p4n7Pe0gQKdjU3aW3L+/EPIi7geps6/CZLBQXWB2Gih+WHBKYyWhI6yNe23aJJi+q5T
vJ266KrUYB3aAXBqKxvj+xRj0FYVPsqtKLI38ziEMUpETHkykPWCZjd/aytRnJXDvJJGQ7apSy8k
h1abKSqGvy8qRLoiHZ9I+KLJ2/lev9Do2KAHqzPEUT6HVAC8F3CkaMaklYOVIrKfsd0qxHUJ0QtD
YV3Fcwcwpj3vc8d4eYtGpdddYHGsl4WnHTWkN6tgkhFt6aF5EFHV3th628BuGVKCW4tBGy8IsiQ8
PtRa+Z5ofVWaN5PTCvOs3CjAyAk3QF2TAzLPffKRdOVR+qdZakQ8dTBQPXaClxP672Nfqv6HLqV1
nzVjeFWkpIlYVcgIeBYn68KNGZqFkka9711izWD+W5SU3GGhZ1s9JcWFCnsSKzuwCXJBBrnWGzr2
Xmc2T3rKkMryh+ixtUw0za4A291w0ByI6jsXCkUrYWSIhg3BaG40QsA0Or08jfUEepSFPDgbPaLN
yugSAEG3IZa6Pkd9794pxD+ct+IxOrdlVa0xD3/XmStTL1vRcNdWVXROI7JTSoymh5YUmXDFT/c/
yJmKHi3VFWie5EA6dpG9lhq/xJ8D7m7Add41vf5gtbgcqCZGxC9g1u6roNymcZC8EZBo0HyFbnwW
ucNYsIXcZxl4J/A9upRHZaiHKwNnzy2+AzJ5g4EDRjRNyW2Eb32ral9/LirIjXqtu48ZNsAbnivt
niH3AEXFlN+yhrlCR3/3LqIEfmSiVZwzT1DJFK1R7N2GBidwJrpNkyc7tJODvfEYa5xgOOJUMV0e
KoxrSRs/jpV9sMu23BXgDBeCZ37fkuDyGA9Tus5oUK9ULMgJwvjS7Fw1hORPFUl3GXW+vJKQzV6E
7qGl8OlS68LawiBTaHSbyd23rGEllftQNHtVTdedl45LuAtZiQWjCfY+NdW9qTV0+CxtPNZOHoE3
DqQEjqhhxfBJoA6nJL/zSmk8SBArCPXMcTrhWCQetZi0i8qaILw4DTRvcjrIXksYqFlDz1bW4DZS
ePRyw/M3qPvU0ao8HE9W2j9ldW9w3J1I4h7D6RRLX16qgT+Mgc1vSl2JuzzUkF1klTyTjG1u+f5w
T3HjLhORFZc9iv41DsfgkFnxtCtjFNMLbQyTNdE08pLMvvqUJc0t/y3La1UeHS+jss4rSS7o/JWk
RJZtRZSY3wU78mFi2PCCmcx/bwlfxobglvYRUSwJaLn0Thgm8f5kjF39MrtSvZO9Jx0nJ5xc5V05
BvrjRFN9gWr3agzbPfJ7gsxy6pbrCvvfKyMTY4VYB5eZUbr7rDe7HZMAf2dIRjwO4prjBOx62cUh
YxJcfN8No7KvQeZUFwZx6TQFzWjbtUKDEWydUr2NloIQqCUl92vgQnL38Dqhky3KGSeGK1TT5C52
8WKGemUcmwxPj4uE+iLQ4mSvUDGv8qHKeSrG8FtGLN+lN/YtFDsbDJS0m41oknoDCtx6Srk/3yvG
5xeeMsK7qh3LS0qBYM9p9ozvkCEntyXQyDvKRaJvGyvjBVAcu+LYMleCPiosQ6L1RM4uF8Gepgmd
GxONIr+pvqP4ZFliV4Hkw9FTYz93yk0ItIp+hCY2o2FM+rKts3ADN6NbY9To91RbOVMQA0pThGTS
rHH/KzSHHe1/FLoYQeOzUKo+csZ31rYysHXQ6Dx6Reu9ECFg7mIYq7fIbX1wWwj9DaVB2DRMtTE7
AXqO3uAlopD0GEbVc8Zw+jnSG2PXel2/LvrKPmcGeg8TMuI1ne/xNOpZzlHSiNZ8vung0xSHq5Qh
toXezbsudHVmlsRopRRlz7R0Uv4CclL/RNpwcYm6PNxY6EkPoWGnexS/HepfTb/GkuZc9anov2lT
zqnWEtZNqBy17mtMmsqZ6FoU+VYAR9lyCI8uRNo/4H8h/yIdrJNmZqQepb5VMRzNrI2B6RgMLoiE
bCn8SN1NRizuuoapOia9uDqWkYXVE2ww+UraYexCQTiaJq4z15TOyYLqvUM2ovZoTeVxcF5sDCQH
ChcI3YOemUtzMvELET7PejUExdEKGF3HlcnEgLZHvUVLiR7Stoz8DJWCTUnrZYblL/CaU2ECbVAt
m6ZGtfQ2YBDRcY9WEDpj2SEiBimyFwkDEbwWDVnuo6yjU+Wj7oYQS5bbMMeaObn3zW59a2tE3suI
B243AWY/TwonBxVgfGk48pvudGInfEaEED66e3I+i43emMO7LjVWAIQ/HYCzielNPalDbhb5Q4iW
8rEnXe5+iBz0oHUbqlc+h4lomdzOpY2E5C6GjrkZjLx+7ZjbHmOjJkEvcvP0x5Dq4lx6MY0CzUSl
jvIW16TQi0dpGgGGQo8tK3MB4i8a0122GUTmMLHVFmuJc6G82prL/nGLgATbT4jk5XlKaYg3lBDz
FMLkSJvYwYw/jGrjwfKidm9MSmyqQBZHuDbZSQVtcHSKqr9kGB68+nB4z3IYo++ZZpr7uEv7lRvQ
/FzATwugKHbmyadxPEcxBklJPQQ9PEd2Rg4Lh/WFYWjEqMDovvQmFH3dZBZvRSRxhFb6LJ212us8
aKwNyFRGj01tQMxTIVPBmmyyU2pWHdF6Xn8/1Hm0m8iFe3NyCPCYMOSbkrkpNymWRsTPSt8mRjfC
+ZJyj+Nj2Fkd7xTMtPgd76N5J0Tz5AfZUasKQef0TuHXue39WWI8JGv8D0eenOnIv+h7Dg9xvmgY
/axDIfxVqoPMX/r8dm8KHNw3vC8MWoewKl/GomE1azRS5AK7u2TUKq7TKYM+q1JtZ0cBTaXE1N8x
k/WX8eg554q6e+/U2MkInEvZCcrHOkNURdxGkiUYOtCA+1edaQanKWnzndCYcvF2FGtwcYh3G+kd
zKTsvmWkUW0HqbePATjHDVxmcxOP7CKL0Pa1VaCNIPBc2x1XGE5RK9LFY5EZ7GyNumU8W9EotnI2
CLn4KjaVFjIUn8bxdnQzMiAFb941VO/2vdQadRRxl+xUG/SPkS3Wepw84KVYRGm2djrc0pF+mPfa
rmrvRz+4DrziuuS8uBbBcBN0xGfYZn4zFkw0R/9kju5tVmIX84KbDOK042q3JvrixA0us1TDGIm1
YKFQ+bRssb2zsWOhsVLWzo+hHzuuLuyrvEZ3jh1Qq/bVkMEATQoEL25sL32/cy7rEsucQQj3HZ2c
do7uK68ihXK/svNw21VRex1jutyqPvCZcLfaxgCwvZ3VVfepA0xEYkGth344hIHuXQaNOe07dzwl
TLrwwMBGvrSYdBwCqHPH0E7WaqqqPZDNklLQCN8xCdu8kbTfMCNHDyEhYgumDCR1zMlkI9s0mz2z
aPQAZZWco/w7M7n+pDcdUO84lSiqMMLoK4u26B1li6evZFHfoHHwD3AY/LU1heENcS4e0e0dx8Mm
EBbKId88G7lTbyMPzsFKtSM922qM9fs46UW14g0YHlwgioBw3DR55haEj3RB9Wuhp6lYwQkkcr5W
YbvCATjBDSY8zgYDeIv7kEyWqLGSrT6XeEE+gxBbXW10aAPnLDLf0eUovESI6M9+bDuvRdY0kKCH
9qhPytjEkVudpyFp3Y1nT2QThllGpWmP/sNU42Tr/aIH1tAU9WUzoRdsmUs++DKXzjIBevJe1KSj
LUx23E3d62Lbdyq7tttxesh7QZnlzGI7qh7rGKoaOHUdkg7Q9uGO0Z7PhFsiQe1iLULn5I5bd0Jf
U3HkJyTSbbAbuEmx6QLNOMUjSv3BTrWTngbpuitGY0uTFLirR4+RTSwcGSuxx6Qnt3WsdTAbyh2k
DfrSwo90cFPDPSUBDXJNNMUp6rViREOLnBXowHiXuwo2aRQy35scIc+tn/MuBFMQboemYLPBveau
aSf0V7pAk1k1Ubyj1QhSlhYA1+jBMbCyKLr1RhCuQSi3uLWxA9drB9f1ClAMzz+2X3rl2TCgwrCw
WjbZsOvobS4yrcCd4tMnYPSm6PSiFqpXZh6ODGCUPf2QPa96QwTQddQ6CGgDm91/aMpTIhzSEemF
35kkb24LMjO+OQi6jxkuD362HB+orLwDY6KA4Bg33KuhnG4bJH/7sbPabZTVZK3Qg7twOqJy+gp1
4QLqS47cIQTGjvXUxeLqc5aXuUCaVhLHQKOpqXcSs+RtQC9oIdqqv42NLN9Gri9uu9z0GWF5sl96
+OSPnPCJixg1f4vDjLWQg3KxEpFCEYjBYo92A5TGlLLUtZysQCNwrrVnYo+4w+irVmZgJpCnKwCg
BD6/92j6MEMhwXFCodGfqMJhl0QN0CgyOdYCN/BFRuEDyT/P34NI+mdiX1hwLM940oIoQI8HFn0Z
dxZRizZij3eGKUXJJJTMv1GbsHQAD9J4T8zueoL/dWVqQ4q4gZ1ons3n14XVDldkf5mUtHSsnzUU
AnssHLxcFWeqfV6n7k0SGM5NWA/DbdHU3c7G9HrBC9EcG8/JTj4DDaYutb4oKdeWUW+ox9CcN85A
n05tlMvvBKNFL0iWx2PpMaxMekYvmhJqx3wFfZ/OIdvrVfldN/Lsuumq/FuFfulQDrG+IcpCsiYy
NXLjniYVk8QDTA6xHx0wC9mYhTeDMF0UJl3k7npz6C4yj4KS9Nix/mFWfQ1VRrmM+pTFgFNIhD15
XdNpmXgg/aXjlsHGJE7qZPh28UIcRH6rZ21zl5p2exNkpb82Y2HssEYmF8xPxcWguerWdq3+iVmZ
edYjK9pb2EzPs+vmyBStolOE2wiDjvCfmFUitNDHpdMZ2WL0Qm/f5Ul24RHmshOO0g9ZnFrcsVIt
KWGDm4A88isptGiZtrGbLprBJWJsNoFy3Ew7TlY22knN5BcZSiYRgQlJQ/noFezJDE9aMdV4f6bi
HkdAvZ0YOy2MoDG+t12obkiWzHZ2XBlbUl45+AVOcjJ5p2u0Rm1RL024CBRMsEc4xVrX9DrdlTdm
5RZ9WMPoykVtQ/dD3seB5t86fe3cOHYfQOJP9c04lPGzNbroA4suh4MR17cEGJNfG6p+HWlEWBad
oS7Bar8ndJtua5hGAVIFLbrIEHetJhUZT410Tfa/3AYBk8r14OkeZFQmag7SR/rYFgO2QCEpgnng
bhJLI/cuDpr8iJRKh8+YJk8B9t+FYEnf+1UKk4JYHeK30HNjGLgdZUhwk5Awf9WA3z0TXX4sORBf
B30YXXQxG2A+9we7UphXrRMaD55okZv3Insitu7eGr3MxGKHw5pOYSx2nuOM9oJDdEOIVxPvShop
/dLQUwudVlDS6qImoj4CUCew4xa6WZwomoedZlGe2prRuDuRpcQGUMd3T62lhwyNBUIj1hUQYJuq
NsR1UEUaT9FgG86WapUqmdkDrUA9N59daEPOpgFuADa66JA1WCXoSp+RP0aXat0jEHKeuhQ87Vrk
PSASFSSYM4Aa8BM8Z3TriigRz4lBTw6TT3xkp8Uxgug1XKVlR3xvgzjm7Bo0zSCQ8DfAWxnMC09a
cCWAlROg0k5FLDgQNCjH0TTjqBgxYUy45+Wy0UR9ScmAzcQCC7WkrKXb10R0H0FiMOovum745mZw
DZrA4XJeL+tbEXHspqcZTd4OKGPM19/EeYg3vIuXBnsp9WgWM6KdpoGcKLzHc0zYIOhYgcsPvZQ4
wVm1Etp07+bSgvXeI0GEJnVfHLCEc4BPDVKvFz30sKXWGd7Fn61MRRGw6ol5omVr+Ds/NX20v1RE
ONr5YJZXR4+8SnxEoPMHqZGh4OYdbu4hoX9iSggGCjZenHb+dRi5wYF1t7tp0T2sNXtYEohWXbpI
nEEsaNldQaz3RUhEReYNZ4cwg6WR6gV8efI7FnppN7uadeiAvT09JVKEp1a3iqMTaC85c9mOEHqO
n3hNWSkRHUWkjOvht8ateub7jna2ISGsYsd58qJTgV8D8T6PPRrgH7EM4q1mJt26A6m4Y7jOgNNT
9mMLcpNQh8DNN3mdBRu3KnCipJWBTzO47QQH9FCwYdopqCBu07QjpB100+jmL6pVSOprhf+omeql
3/vhFawH8p7DPOU8Q1a71/j+Cr9WD0MHwAeIb7QZNkXfwc3G5NVlNH1qKNReDbsZnnKAfw8YD+W+
YID+WNLuQu0zzsiJLilBfw3OBCZ+Fi30VFP01qSoysuQZ+6i5OE+B46fX7D8pJd+x76/mAKbWL4a
6P6tFmXDNUqQdpsnaBXpkJTsDxJluj5gXWkQ0TtLJarsZpzo81PoOVdTJXiw6J6VnHlaxJb/n0T7
lyRaUzdnO+C/n8tevDavRfTf/1X+PM3950/9bxit8QdVmKfrwrb4HzzH/7IlWt4fIBs9Sxc6aEPh
uFzrX7bEP3TbNF0fMLOBIQzTxk+zWf0P0/ZsprI+vyCjWfPvzGZnOuRPNEeBK9JCwuvMfw9AZ+sD
sNjkXbWtEmF4gx9/WhKZEj/NueQEGlcBu2uqJgIJ6CCiccnQiH6BJDRm/OeH69sMwjBDGgyHXWP2
TP40GBYmqopeosAcnfYaRGJ6ZxCkuFJWk2HrbSP7NgUqghaZqhKgQBAE7kJr2/qeo1jxFcr3k5th
u+AXAVj4DKs/oh+JAWIkABICgQjxVhkhAN96Z9TAOA3+gtTv9IIUIfRI0ReUxA/4x/lLwGZqMk1B
B4/36wOYkbCajH4Sy5TNzKAkNIYwK9wI5EZ9cbt/HcM7f14IBCxPlWBvpq/7693OiyIJuq4oF2Hb
BfeYBQV5RoYfHHHEd+4/tBv/lo/62cV83zY8Z37uSTn+9WLSMs1Ik8DOJu70gR4/6L7C1VZInvu7
n967T1CsH5id8+dy5kvMBDkXbcR8g396iozAske34HPhpg2+JzQB71Gxq21KZtQuSRgQ/v56n3w0
hxRoML6gqIHO8ur+fL3M0nCqjTTMndL1VhqOeaqFkKHZrF//25fyLNP1WCocfAszi/3nS8XOTEOQ
9BaZMzSci4auC5DCF2JvkGJfrH5/tfl1+/A6ehaceF5EnHvgbX+9WjIUTI27uR5nOLNkyIh7TKMP
RD0LIuI7GAo6jTWc1i9Yup9d18a9Tbg2eZqO+EAJBfplZKaYRWV90XaLoYstZgs6wqkiju770ipP
noq0Lzjqn3yNHkdKb4bco0mZF+ef761ylZVL0qJxG6Qj4WG85Xgvy6VLY2Px+xv7yRPqzbx9jN8s
+P5M4v/5UhNYWVf1OY2jdpqW2EXM7egob9c1AfC8ItT+sUH/nZePjQPLDGsZOp6P1wMixWnY8yEO
tZazN7XJXOFVKGH5kHX9+482/+ofnxmCAjDfu6iJxLyP/fzRUIqaMhzBjqDYz7DboFRIEGxv/oOr
2KQHk3DgYBn/8IToOXQux2Y14VxM65yu5BE2Yv8FXv6zJ8Kb1Ur4/tmCsfz/8lnaiMAapLBcJcOe
tTQJFx13VjJqxEUCcfuKpfzZUwG02tIty2CfZSv/5XK6PjkE/rBuaVLeKjmd8xKLmUNnG1dZUn/x
RX12NV8nCcI0walb4sPVsNUljkCzgMK1Dg9FTCoUZyeOnIjLjyiTuy82gE8eDFZk3mZIdFzzY0pB
6tLaGDSd8EqFMGsxRXgoVmFpBMkXH+yTb41LIDDzfNYu3Z///Kflf6jIYpPAeqivlZvPlKFu5aZM
kgD+BM3t7x/ET+4iN5FpiONxzjH8D49IMCB/kaEHEJOBLOcs3a/f0AjZpExqJv3LjCbO318d2bF5
5jE6UCla8+r50+ebSi8fogEKK5b7ALcVYDkziBdtZ2trK8BcMwxG/8VO8Nk9Zdpuz0Um/AvxYfeO
ZKJVpEBR9rXZgWkMOotchChGOBv9/oZ+UnWxff/flT6UoE6loyx3uKE+bkpSnElFfmC9ltmajiSg
OCmd/KafxsJYJ72yv3p4Ptl6fJfFy5trFfaYDzcXGpKXRQhSsHVMcjuNtnY9OYG/qu22JlfTHw94
bILH33/mTy/qzMvMTB+xxIeLNrnfG7En0Ov03NTYz9L7fHTuI6doNrpTi00PWuCLa37g1c9F0rwR
sILOBw5q7l+fInLQyzahJU97p2b6FhUHn9HR4xhEyVuZi5xBNfZVG7P7HtxI/sU7+tdvmafIYEml
wubo8nEx0K3SHURGj6NzB+NM2CJui6gJX7Wg7i4mPCEg6er2QqvaL3bCv65C8+PLm0NACVrXjwBy
qN9+LAeUzYFZiKs5UAn5S2Kef/+F/nVVQNhKqoPjonTlX+ff4qdXVLlFF8cmSiIK7OglRIAdoVlt
ywLh9FC+SBSHCHz/ddb8pOb96w3lMoQPWNiTTNv+uOhFwKbRW1BR5JjJ+gUjCfva7yZ6501qxRvE
3BBpi1BHZVAFSf3F8vDZ1f+s6iFxuqzyHx5gRXpnbFiUpToatWyFqRUvHMoYaF0+mnJjERfB1K8Y
cRAR3Nea8eP3n/6vy5NgT0G2jFtAmBwef73fTh3HlM0sGuaQij3/vAITxtAYed7mb1+J7ihsIbTS
85P0YXPhLGH6E1OjxZz+WqyKyUO3RnuKyT5+Erwvv7/cX99SwXPksc5TtxEI/fEtBfiaDBIGqWNm
9Xc2lFXaJ7hgaIyupSzKbYgS8hmnT7VNRmE9/P7q8237tZbj6o6N9ptqzjC8D5ub7BwHYgRXj7Im
ORqVo6MhKMy//UrOV6E+pRBGmW5/+Iy8IR45pmgy9F7zD8loXSpv0Pb/wUdhwsxb787IpQ8fpbUs
R0MSzY3sp+oa02kAl1zXEYT9/jqfvPkeTwaUKJrOFNsfqiqspnbeA1yEx2LZKx+1JBjyPNw3vgtD
yZPa3y5RyTnR/wyooPiAh/Trk9+G5ljW81ekaYlYZ8rLLu15eJGHg3X9+4/22bPoObYOhMmisP9Y
nuZJDEA3Rozgun2715OaWE7DylfMoLN91Tb6oRZ4Zu0mqZ7he1RfvAqfrDGUddxSb4ZmMSv49ZPa
WaqyRp+H7UOoYZq1/Pra8jLXo/HpNnemOUuobCuu76w4HJsvPvz8t394FXwyTui0zTFbzscVriQX
wbRpxywMIB7PvC2xg3GUl3HZRRADFlGQpjf4uez/YMHhwr7p8yWz7BgfHlzJXJm0aQ4Fo1G3S43f
cK/wLDwZCFVuf/8FA5v48ClpTlo4Rqh75h4ckZy/3mPyNUPeP/DkHnhTwjnph9OIh13cLeLRrE2m
zKKQy8w0+mwTezKUGy/NmmnVCh+8lD2mxrMrvbJY4mMsp01s1t4PHNkjklK7H5r1hO8Vh8F8msFt
x/hJ6WR2OUYrqc5t2yVpoouzYOnqvbWNpwHrtBl0aAS0hizYdU5JA4xcRfZ7OyUJBgyjyt2d13b1
hdObLiFrysBvCZ45/Z7kihDbqpKDt07AYWrLIAZBuCW4cXitnTjDblm0JET6rR4jJ0A9vMRKCpbW
6AiGWoQKiS+CAa8/RfkQu0fD1cMasZmVGhu0+tO2cVRmLzNYWxZTGd0M141sqhtQaNBf1diEt6OF
vG+p8zG/IUcnYxKSDFrZqXNNsGu+Ux80ZDId2Hcje7HChBCQlLIiX2CzTQ56Rqg8w29ZnCYH3jwU
0mZYJ05V22DkZ2RH7UzmRURAAWy2hjgRuoXS2ERdr4LVUGvEH4CbrbNVa3XyoEu7jlGsNYO2RPjb
n4kE1uVyUIisFoOXIZNjAEeEpEsowTe49QzKdIOh/oYNNpDk/UKCORpGiX3YJBT3nLkKXLnofDR4
BvTnCnt3WZXLPmn1m270XQ54fifPURZo+tIcUUDGFaU/tb1gHalzo7usM2FWq7bIIFD1dqffAdYn
+oZFpGIQpbVPTenKR0t6jNxaAmeHlUcUR7gQgILeEkVOwkqpsTfXnj0wFBRFIvt1N9TNsEmcEiY4
wOn0WjkGKJ24iSDVW21FOAP5mxRHUw5GFgoHohjscsUwrkKssYQh22QIrwraT9XCqsk1R0g9ac9R
if2WQWIBdpr8kAlOmgwdjIt5iTikjqupW1OzahBzgUo9egEP6Urh7dVWyI3xd9dQJmoCX2vvnNcY
a5ay0+qXoKLpjmOnnS4BmyMNNEOboG+zd+1hAX7Jv8v9Nm6WQgFC3+RTjW48HbQ5Zn0S4yqa/F5f
jjHJckvwxrCI22Zs71ofN8IicIbuDVNE7a1EQe055W50x9PAbdDFuMncRB+ebD/BbRN6ULpR9g2W
uU9z1Gp7pCKmscLw1LSvfSD0/n0aI4F0kxm6tsiaUs/XgSv6ahVkEsiDQsuvP+VoWF/bqgGgAbk2
qi7BY2rpTWXCYyXDYGrrZU+oxVxWYLZeZkZQNtve7Q3a6dokNMIJnCA71Dk4v52yq5gEXmCJGCIn
FFjLqUdR/QTDP77Gfou7H4oyggNl5Cm+gUb3Hnvdd421pVBHLiZHz6adRrdNx9XTEIfsjtA+ZFIY
d3UV2e7CjrIy2gHdN5sV42vsYp43TdlTqEJICqgLo/JaFjqU6K4P6u9yQI5DHvmEqaPTvE78qHmK
RgSodjC+ACmiIzt00VhsuasOiKBEM6HoWUb7OvL/91cgkYv8Kqgyv7soRCFkxbIewOleFDb01tsO
BlUI6g417z5hBQQIxzrlbusiiy8GOQ3DEX1soV30+DHkNh4sAAjIlvRHbVQqWPj0jRFu8IDXh1BM
gdxW4WQhSi1kF660tNaupC2Vv+7mhxShUDxEl3Efo8bvCB2Cv6MzYF410yiDB5zbbrBondK4rquq
vo6cVvVbCIWEPAtCKU4qL0W0EQjDtGMW5XX8jBcviVCVOmh8WvJzK/Liscns2CKxK/TSN/qrLhgy
/7XubCHWnh478RKcL0G/ZDZ32kkmowNPl+IT5GtLvD2mmwITmk8X7lzkIm6PjkwzZ0m+SO5uOt/s
3608SJtdkSvo1MAOJVCRLHCTfagbyRuSO/L0gJjp3QOhcRX8Er8g64DxTw9PBluve9QBNNUArKtR
28X54N8AGoEPYKpJlMsapToWEaUP0cquFEReK5C1jqbMVNmRON6coHJmHz5p91n+jI8NXgeGgI7q
RJZNth1GU8mVJKj8Eap8h5LBm8EnAbkw31yZl//D3nk1x41lef6rdMw7auFNxMxELFwaMjPpJFF8
QUgqCt57fPr9gVXTLSa5zFU/b1d3lyiSeYF7z3Xn/A2l934Gcw4nYjNqgSTYKdCv5xl03hcd77aD
HsjRyRL73JfBrpxQBklBzuZ9PTpFqzBGFKJlKGdljNFzDqOlOxr52DY7WDMJVmItYFcSGPMs+pM8
ItOj9zkyOrNW1IVbyXg3+JLY49i4zKzOTjMkKn7aOGKj2LNKYTsyxkWzl6FGlB9zccjzrYRkKTmL
CPENT1e7ZT+2Q5pujakbBTdelPWbCPFACAG2jMsN8s1s0AI4VK/McQG0geHF2ZfMKBVz05uoxDD+
ZsSD4CPCMafORtQ54MaHmG9Xy+gwX6PcVruoQkJcVdR7yJod6gR45hCNKoL8rJZiLYOEpTEHurgh
2xzVlBuy/WJ21c5FoLn6mPToBUM8BNZM9fAIInuVaBHrDriWXnNJkGJ1eQ4SAdiYsdp2Q2jRK08W
wuJGYl401ygqZqcWNxY8ossYFZkqrNnGBiD9lcc+jFXIPEPTtOt+qb6UCCTd5ubMMQPV4vZuxIEI
9UxL6yJbwYCInE8YKqhaqL3yk9oH4C8lJCXkcrzBSTQwsWS/x6i22CSdjiRWYq1Af1Wqp1t1aMFX
D0KF3hdwAtxEoJUsAOOLYbpWl0GUyGSN4c9INaJvySpgSOTqSFzgnEpZIwvNpvBYurTEx49cydBD
Fqd+wx6c3C6I/CPQ3On6ydAqPXGroesXJ9cq6yllelIkma34M8B50HdKCBEByFM93lQJSUkMybrp
OiSugMpUMZYGOUZ6N6O8aNcAuNPHsR+N752MbpILnjqC4blgGwV9tNjDg4CdWWt9nYLMkrM1ggBw
OybkDmUj6KjqjLirHvUJro7NNT17aqocLZi+a9ofaEACp+8hQnuLPOBgMBkwJ51M5GEQOMiGn8Oc
NZ9QhSh+ZlKj7mNZAZmI/F8H7laYBtUJAYD/iND9RwyqYtL4CJK0kgNmcDhoCzxTBM9J8SKbtpBg
CbsR/zQOEfM1PqwxcLm4HdxqhtRnyzBhc847BbFVZXr90C4mOMJKWpW3rFWtG54yl+wjPLuIkxfo
QfQHenKUTpqnABpBaBc1x7Co5jBWVBkVuCVpFluOVHkqoHtUCXxREjsIbrUtnQ7tAMUdzgpDvpHL
CjF9gFg9hzJK+JVDZZfbitBGdeIJY7Pyf9QFsW9yuxmKKkvLX4uDvHgD/HJlS7moeWxNVm63CNDr
dLENyBTfhNYCjF1sRAv9AA4M7BkDkvJNNAQbxMLjzlvMRgNzgxrq3VJaIItRugfHJMN+XBxVWtSf
4ZjRzpgDajrKikAmOUljEZ2eGWUrF/AvqKsQgF3KYXXCG05YCj59KBQwUywQOBQZbH2fulaykHBt
OHQ4YRCVylaam0T1Y6njlFMi7sD5FeSctUXxHF0nxCKDz5FqCrXDESz/VM5DxtET7UPhKi8iHScT
c67vghaxfrsTeqRHEGhH5oa9Ilz8rpUL1Ph13bye60IFHpVGuJYAPjVEx1SnTLBraQHgXiGwYe5N
KzafOd8x44ZA5jzeiQhTCCRxOrtBgvoGDRGY1SL4sHtlicE1Uvhtf6b5YKm2ECOVYyddC6asaWcz
QownWoAiJta+mCQFS+FyUu7SdlgOcJfHzzAj8VuTYiHfmkse4kbS1fSfnlsJ/usBGhbgUnV5By3N
uppKdOBsPTTln6aIDKKDIV6E+mddw5wOGoGSL7smF4RQ6NGLFRAV0Dn34w5nhxxB4aHJqyDSlKIv
UxvBHDmdOiWNw3YGnq4wMhB2giSDak7Mlr8pM218wAKv6jfLMK66yAVsdvTDVEIs4Mm9MJ0jHYTa
JFy1lTYDTFx0/DHSUQRfN44CAmoEv/LVbFZgnMqix2cLEYjplQGIvUDTY87TTL11PY7YfdhGqBHQ
aL3OuZcIq0DsC2oP4jENh1ZEKDfJCq9LBXYcDpLq+DAueVneoL2r5dvSilYBOKwN7xO9R7OnKApi
00ALr2PFi3SD20E7PjeIvN7C2uEByQRyU0E3awUKyiINj6hmnxJDVD+JE0ZCoI455NqcXDHwGrF3
hJKerSRfJZyJ+KKuMxIJ9ficiGs/4pAWdS/ioLo/Rnqmgv9vuOhwropu0Qhe3bWaiscp4pX0HKp8
kmBCttthxSKGuyKxaEFZOgT12O2AqeVjblwbM8aViB8s1nXCMoC6VTBWjRtnmm54HK3XeYii/uAr
+WL6c4CJLHZYkvRTb/L2+8d5h7PMjgpqAs9smdwKsY38xVkxVwvGpqsU/MA6QeWOlAWQdbci2Fm6
PqhOFVAlLmRo7zVThnr/x42/5IZ/yez81fqaylUN8qu6fJZXwiQhqJtcQEG5VAVWwxlF1JB7kNmZ
n+sKfGGNMRj3PFh2GT3iFgmMFfyZWk8eEXaIZq35IijE0IXnWjOFHz3X2mu/1BAKsUaIrIqwM4Gc
GHmNFCD6iGXm5KVQqOICeBTxLcSi3eAXY0uwl5DZZslr8oH7WK13jx8/0VmS/a+OslAN0SV9Raid
PRDqcWg3qACVi5xLsg39NXQCdgPKgC0EowvpvrNU1EtrhmQREORRZf7z+vWrUS3GVAL3OSea+V2N
DY5UULtGpMAmbfoepKV8IXX7XhgaYF1I7q32ANpZKrUIghbwJUQRFODlGz0o69VmCCx3J067GYta
pGgj4OyKfgF48rZhEoqKROlvtcSVzlFvsy5oGT5AXCcLcVzTqfNhBlN0NUWU/pqp7tzarOs7/F9D
/+MhPUvp0smvWz4bUhNenipCMrKbYS4jF4bJYB1ZCKaThSziAM9/BSjXEgD8Tzk0/mE3RG1XXwj1
tWNfRzpPAcIR8+pVs8Y8yzq28MQ4cDMDM/ZQrqyJfJqXqtx9/K5vA4pWLKgmsqwDChPPhpemY8Wq
mU/KKHV7TWIXN3Npb9bjeG9AyLgQTW+7luImYYRmDkqTsnKWt2UB1qxa4aWAk8tPQk8qsk/rfmOk
43QjCBmlOgFlL1vrkBdMe2nz8du+nawUH1nTFEVF6QccxOvpY6pkjXKB6dN0XF875GmdXmGhEhNp
+3FL7/UrZ2lUa1akGAiP1y1VyIkjXkopN6jlepclIV7HXFhJLBiYKFB+NIzjv9GiAoJWpNi31stf
tyiJS1Jzw0VjIxLGH8EsCBgoJUaM4m2U3jTBbF5AXLwXoCBJKOqs4F0MRV43OAKQUUslZCluerZ1
a6naCnplOxQX5uO7DYG2syhhqozaWXUx7iGo5AN9udQ43xYdciryNNUXWnlvxKjWSoAIAYVJ4tl+
OxqoxqURrXR9hBw0amULLK5VhQ/B7ps2EvoLxZP3gpGskwZ8meMDFeLX/aeXJFBncw0RabBux5Xw
40xhaAhen+VZfmE5OSvVvCxqlmKAMqIarrKmvm6ttPqsB0hF6Eth/i3Gz4wU2apOs1TXZltwPuKM
Nnz+OCbfWcPZrSRFBSrJ5ngOzFxgFChaWSLrGuNSzRAHm5YMgK3AhoGPYB4r1n7c1GZEJz5u+Z3R
NAALKxZQDtY29WwNJzNaRmbNTG+D3vwqS6mUcGSRBjgmZM5CJAq9jxt8J0jXFQ2kGmVHhnR9oF8O
Ju2I3IUakf3MFQGEyKhofi8oov9xK++MoiHrzDbqzqtW2FmQWnMQYuLFnCOLIk0cl1PM55SW/LIv
FeKqNpSI80maB1RA/42W2YdUtDLZjYyzA2FgJjMpXiAipHK5YEDWC7CXYW7YM8ig72wt6BGPkjYE
Fxp+Z5rQnsiRh1ofr3w2kij/KUbX03CeVtO+LbBV0SdBuIVo219Y0d7pXVBWCnguVjP9LSA0E+Vl
1HIAodTIXAHiyWbS0CGhVxFcqsq4eUwl6xL45p0XfCmNA6cECC6LZy+IEmNvIeJS2LHUaq7YIPu7
eiJvQhH5po8H8Z0gRQsCLIoEbgK1ubNFIGm6vOkXXjDIZNXFX29yxxrpxd9tZQWciJRNNZTzcJN6
PRXEgcxcXAOLE+qoP6VjioM24lsXzodv32U9HUn8w+oJguBs+ewhxJFPtnCLMFCIrCSM26U60n97
WnO0Z8rJbOHQVhD5ezWtSQ0OE7ecEoY8pZRTg4pE6ZaN0F2aX++8DguzRDEfoCuRcDazlUFVQ9Lj
bHKjiFw68q9OGU1PH4/M21UR4y+2GxOAJGe+87eBTiONE/UusoNaumfxROCVUgJvN0E39NIorOav
Hzf5znuB9CIzB/6KVUNao/+XdRGvR0BIq0+IonBZbiLEoyv4hO7HrbzzYgaYZBGUsKHq6nkrI6D8
kPs/ABMLe0UEbIxrsHStbxrkOKspvIRNfL897iX6CxPgfGMbZLE3DCpWqxIexVAhQ5kQ8FNoUVQX
k/K2nxrlx8ev+G5HrqhudhkgD2/yAbkYw0CnI+cIE2IYOKGbld3y+/GOV5goaohQsuqe3zrIvZK3
nthg+kwMbrBkoSaTpPMFMs86a17fbUBkaGwlEIlQzrTOVojVzBftsSCHqb8sPty91lGSAVKv3iJl
OGI6m8JrRnKg7fLNx934zshx3AJLrkHdkFC7eB2PQyzGdQ1ey0bVMUTeD+F3tAbV1s9K8nmrs66s
+R83+XZbAZ3DgHEfgDECye11k9EoF9T9phzptWLZaL0sPaGfOLfIKpEzwJ14QDC2rCNKLB83/E7I
QG5AqJZLCPPvnF0EDYgDbInXOTqPwjHRVMzRq2r87XMsrwcLD3IWHoJs9K9fr6zQELZM6J9WZhYb
CpaAIsACGkyFLMu1CwH6XuisW7MEKg4rbnkd31/Wk55NrTBnsCCQbONNosMjx2lIUB2NuuahaML5
oFEpQ8oqnB9+vzsNuhGwlUn4aGdLmREPqJ7oGjzpRaPklRtYq8+SfmH3fC9A0TDkzMwU4ap61p1U
4yoYfwxVrqeG3RaC8KRM4FTnVK23k4Ck9b/xVtzkAeVy7SFSXnfosrRl2fZAcwK1rGK3UzvcHeIo
xibq44Ze6Cfns94gy7CePvj/c6hcPM1pkERw58slQA6qAbiD61ppTWgZSHNWeH1qQNgdlAaZ2qKs
fjQTYF3sTAG5XXiWdzp5hY5xHaKP2dnPhhKFBdToFgCCMzh2hxJiNcx+IpeTi2FDfmFzOgeQsdES
NNxcYROu2YBzAFk+pg2JORLgCWosSCPmeYA+C66R6H1FcINm9t/ExAq90hpEtshrfZFq7nEY/8h5
r5Mt0JAurxZp2maToEUARVisrgwZrRcE1qLowhw7Z5y+PLAq6jLnfBGY3TmRaMqtKNTFFkIdkzn3
YsTXDxhTKBtg4sU2MMMVilWj1iKUBUQLoUbaOpwN6UHhcfsLE+L9p4GCZumKzpZxHjeJ3mVIcQH2
C9AHoDf6aZUmj+hxJ1cQr9RwvcU4Y6BKhO+cW+HCYgso9ANCTMTfg+X+1TO/PIvyerZEwLQT8L+l
DW4v9KBOZs6IkNOFAXgvPIkXCKhkqlhvVkbwL4tciRpTYKi0gglk5KiN1T4rTZ0eBhQB9kPLze/j
qfnORsEJDWkLmf0YpPz6/V/aUxHQLCHqAGLVlNprhAUQ65yPF/punVRn859WVrYrlyyG8mzSTeAr
0dbj9gGEBEHoJNTcupbDb7CbLx0w3n0hbnKwj0xRlsWzYRqSqskpnJPtqIzUBcHZIdEu/yYn+SUY
DEuFG75mVN6Cb0MjqGS4aSCbwhiJ6WlSe5f7W3SJdP1ez5nsrowRHCdSGq/Hp+HKYMLvpCGhE314
BYlrlINxW0Whcv9xKLzfFJ6U1npch4nyuqm8RRHFEhikauqqkxl0YEtSvCRX7PaYfPo3GoO0RWKP
g7t0vveoOQwefTWnh/yGpULfwSYC/eIOAFX8j5t6LyI4+LGtwljk3HAWfGNWqnoLQIx7iJbfpmJs
HnVzMC+sVe9NXNQCjDXpxAZzfrAtsA2gXEncFaBnRbtfxgS4UDx+jsh7+Yhepe7Hr/XecJFChH6m
mtbK4Xk9XOjfRGGuUyUU8NFwkiUXPzUJWAZuC9GFwXr7buRgIAoYK/3YYh6/bmpUJStrcwAXU9k2
myio0aFs9kDv8NZs4uHCi73TmglwH6KQxeEEnsdZa72C4nXS5DaYSn2/gkUfQDEh/Cr1y02AIeaF
U+zb+MCvHm2o9XDCNV8+ay+GUaZKAuZOIqpwXytpAZqDEvXdx8P1bitQR5jGXOH083VJEAYd3VFa
Maow/aYOYXOM8ij97ShkfOizNQoNdu+zkaIIsIQVylRYh2BKLUkBMtF1kdR7NR/1L3IdZD9/+7UI
QagqMGZfimevB0vRswYkKhcNCPhcAXL5z7gwfpMIzGrLLUNlWWJBp9h6niGRhT7Aw3fg0lgqSGNh
yyyQs1ZxZILHjRcaY3ahH9+OFus6+HqLmyrn1vNtsR5Aws4Dtb45q/trY0mCg9iPynhh9307hw1V
g5sLJ47VnVv3694zc0EaTEtJ7QgzIGwW8uelGsEB6knwuy+kA7UymE5cvOX14v26pRCor9CLdWVL
9Rx/zUth9UGMLmX93x70aYYbL+eJ1W8DlsbrZgwELWqM3jAjTUelBtFiJsrViAyychj6KhtQ1bOE
1BNrrZo20IKs4ZZqKgfjQqovVuLeDCIPsy4h3PlZTaj6vX6YjLsUfuw8zNxkA/KzDR4vaoz1129O
AbYWGKMEJgukDovydTPiTBlTXROFmFKaKPKOz4g1h3/d1f7XK8mC9r//k69/lNX8MmnOvvzvQ/yj
gRT5s/vP9df++WOvf+m/T8Nz0/XN8z8O36r2H35f/Pmti8vi/HdefQQt/f0k7rfu26svvKIDjHjb
Pzfz3XPbZ91Lc+Fzuf7k/+s3//H88ikPc/X8X//xDbVSLNhRizmzenkh3f6T5Ll+/t+/d/yW83v/
+0fz/KuW0MuP/60kpOt/6PB3X6pNqoxcDOfmvz1eDOUPdBdWcjggd/LFK2fwf5SEjD8oTq0KENYq
NsTdlLH7p8uL9AfbOcUAhYub/nJT/J9Xv/nrbPvX+NAVf3/9D0TxblDd6tr/+g/yPYTBL2dghZ1l
TTqtAjMy+oznYRJOTA5rDEWyaiB5v2GFkLljUxcaaGOF8Ew1lFrttDe4x1QqiLMkjg9WG6X7crC6
m9RK68egzo1TtZiTXVFsulctTOj7coUFT1aY4P039a3oLJTU/RD3rG3dYPBRKEJ3q1kTaqGqlSJr
DQ0liIddi9QyyTBBqL9Uy1w9WqURFm6m1KKO4WVuAsNSsz/JuGjPU6R2R1DMYcPtR4rgfHfpBgno
AFnveUkcGAg6/ghkLaoIHQyn1BaEGnTk8zLUyZ1msRJPznrEp7uFnClJnH2p9kOHiOogX4M/bm5H
bB6cAgLEvqOe+FMbCrD4eMBbpyTV0k0LMjWyoVxl1+hN4Moi1OFOk8ZPcLfIV6hKHnyRKzO4bvCn
2iN0g7Fd2DzgAhN74lAjOV0iOI2gyVZYlvhmISOxr2YpuqvTDF5Nm3qV0oTHaojlgxoPyCbDZ9lO
ZmzsMGEF0zOJSvgZSdAgdmbyqK6hd8IGsw7xoepSsK+pZX4eE5BGyzhjiKGW6VaGo4rzpIBcfdtr
gWcUQ2hi4ZfPiOWVIbDTqZMR/4xmrFSLxTPMMnHqeUBMuAjRMNRSjpCRdAc8d0/e8gtMAdtUkhvq
cFy6jTFwkKrscRrrJHBa2FVBnTIdVZaSzXqNdOIw4+IQQrHxGUpU00Ql24dYrVxxWKwdEwct25Jj
LJ3rBTFhoN7uXOut33VrHdPsFJ9y28QmW8q7KI2L74sp9x6mpUiW4nuw2Po8FYOtwlx3YOUHp6JS
7yQkBG1TRW0CAUh02YDChlV9NzdiiGugON0JmPJuRwOzUgWUH5ZHWXI0YnPweipzt7RQ3gm9jDJt
K4VQHKLBy7sq3yZAc+zaHEoX1c8RS4dJG00fEF2ND2ib6jbeYtmg+YIC+WQf9FKXPOVaZ7WqN4xI
eWsYm8iBjuxhU4BkzGuDg7mj4jygqH5ac4uDmiJL0SC4KorDpXSoJGApIKQhxjfI5UUF7jPd3Ryj
nRhfwcWYUukGxz68tVF/dxX8R9yqwaSvomD0DHWID0Ly3QcfGF+FM+qoerTUn4Jcn1wMZ2cosHP8
iC0aeOhRE62bQQtWphKdFZFthFAVRS2wbbO8y9qk8qnZ4x7UzwGA3mbUr/sswzBJkfAKWlCdvAoz
iA76hCZsNsnZkdRC+hXGh7UByFV9L+TK2oB4Ng5L3WKHoKFZsQEcHKF4GNYQRSsQEHaNJv3DMKr5
lb7gAe8PkckiNU5rggX2s0zOSSm9VEVD26yC6H4a+3rb6o3F61ek80NkyQyoJIKbFWbhLSjd7JNh
1reyEHQ3I9QoYIXWg2I29bUMzhfV4si0Ejto+vqrJmbpHQX2zjFqLYWA18l/akY8f57TzEQvOWrr
a1WRblF3wmK7Z8LoRiLfQxfM74wWZxQDbUAvpmJ7Iyq98sUoEde1MzFXUJUttHEvTVhk2alS0Y+Y
8ao/I0qMD+QJwtMoZ4uCxWYRf6HC3N5E4yq9qXaScS+qceQOedywcIWV9rmIyk3Z1BUJQzkCUp5M
iUulmhR+JCRg4gyTxOWSK6XNAROB7RDpU8ErRaE9wgKOWDGz9Hbq8gH6VQkYowxnEa1dQQCBi2Yn
OYs0WE710MuY9NTW7MQyjuN2ZIzxUwg2k3tXQS4Mq2FxG4UTUtgFHi92mHTqgxy01rcc5CuKuJrS
HZCx1+4p32OYtIjijZXV2f0SWcoeopP6DWdA6TZHXOswtTgv4GVvwHtsO8WdjML4WYs8DrfLariZ
e0329CRODylir4+xIOPIGqOjewTtMPuqMg071iLoEsiN975BNed2go5hi+akXcXEyo+y1htYP9BR
XB4VsnDUx3mCiF2l7EREofFvQmGV7NFgt7LxXdSx48UpaGptBOqxJhqGuHd7tkrsY1HslnXweVQE
q20iaKPbDnr3Qx97HB7ZLe2pVsxjAW4WZXvujkcpN5c93NTx1rBSIKzTqmYZBUnnlAEVGDXs8jvB
kloPwWK4vU0c97tOToWbDscy5NNlpcIJXCwRjY3mrwHCEodaYZd2qjE0D2mhFYduLka/S6s4cfA8
gFmxuuB8GrIlRsWa3PtujNrsS0Dx0NE6KUWpUjC0zYykIMKUpQgjE82CXopSzxT05sjSU12JVTZB
UMN/TLSKpBVcLgaL8cOaO0nfNZFufouMng0+CsTjqBv0ap5m4uxaOB27ndCq35DA7Td5hvC3FRjh
cUoi4YCmeuOI8IAjt7YKDO97ZN9VJvUmitjUnITk1tcxbQOuc8uhr/R8O+WFA0wQ/6w6RsYtx4zb
HNR9LconK9Ustxqnry1y1vsUHcPPhjWQwOxbU/qCjBo5a3bhR3GqxO94AMveIqX9J1a9+ojXkrmr
zHC5kWsuqpglV45k5J8kPTnWUH3cdrK0q0rDBC5vqs5v0erFXPc+NoEvdDrJYD+Lin2OrW8Q69Kh
h1HrTnLf+WqoojbS058u7mdozEd6vgmNut4YWpG5eTqJh3bE3rmt89KtY1PfMYdF6nRytE3ERt/H
MJod3H3rL6hRYHNKdc8rdGm+5mZT7gc8zxwFjPFmavGXjJFH9QOu4/dxolvYAw2WM+vKcgNkdz5V
iRV9yceqOlrDWNxLybJyIbN2I6URij6FNLujHqSoMwf6fk7K4USxLT5qWC6TGex95lnTO0mE3Lmk
PKBl7dUcD2YTDkVTRIcS8yszj7w4XXwN379hRLYepFwkYmnTPFXKs5R2+qniponeqlxgqERObMQH
SO8rO4bYeovUcfgFgM1mNubWxdzzuQek/rUEc3yEMMtxByeQCA6SUQqoUlyrAZzvA+yQYHIbslyQ
oLJny6itZwUZdkdSu3pBFxIhVwMvsGNn4YsuoMeNSbPRXctVy7zs6+YhayvVHc0wSqkMRfoKsA2i
bwNOU7tcwyQa89l11s8VVQcckkqoKiu/DMcgucfdREyoBiRTJHBURTKZMonkyRCBv4sAl51agVoc
tNnoSTk65CwBmJcheXwTGhhErRJRmHuQPkvm9LEFw+QJYQqcBEbGngPq+DT2+Bc0ZS87sOU0LGS4
anWiEcCG7JZjEQ66g08ONmBIr8EdajFIKLTeFea54hgXt9ahSZfQ78S8vKXezul1SNINhrvxHs3r
dhtFsnVnDfOM4VGo7kgPcSwkjRzDy9rrDQaNepjqLuQlfaPPirAXQVPwI5mEFTh2plDTZTdeud9a
iYR2PVjSVV0iLD/oD+jrfxHCeXEraz1nVinGOoFwpfSjbkv6fBsoY+3UrCr21CwUACM0C5Chme8Q
Vwht0KORC4RV8BB1T/1cqD4vYxG4WciIFoXBmCVYKGbx8AwuIfLaGh59rI4HITSuqgGKCfKQo8OZ
KmQxbE+qwvnMwFgNaUb9yFw5ika7U+IRxkXUog+NYqMNWYYKjxZ/R/WaJXlsZT+p+OkqqzHYrkQs
zvPnKs4/6ZV1Qvyh3GJ9PDtIMUL+APLhViKyA0GBwrqUD66Wxc6ip8o+wJFhs+CJ8lVsg/K5l3qs
iqxWkLatoGKjDjLZgfSNzUvBppA36lNXWSUWBWGOzWNh+ApsaoiGSXZXhEiuoxnfeFrSPfS4JB8V
bCqxEFQ3hgClM5/znu9hyN2qxnWMTLE9dNKjDHvRBjCVsCgXnxZYbA3IXDvRZXcW5tbOMrLD9Vrw
aQNIPlaPoCQpVxDD9JskI0CaaeZdBprFr7Wu8NA2aVD10Yr93EXWLra4bUF5kTZojmNOEmXqfoky
nNE6TMLRKS+doRMkwr2dbdlIu3sdCOpOyCi24nO5qRpsOdOovzFz43OZQJDSoEx6IaoAZpu5ofRz
bndUU9g3jWx46JeNKRYSFM9suKqMpPOUFddd6TdJWw14jzTTNuwWp+vjna5ej9Rj+Cxz9MX8p2CG
ttgf02UiJRl2w7aAw3JvLQkK/Oig7uD/hIOdT1LLNs/BDnKmKe9e8jX/P5Xyd7Zk9+d//QfIuFUQ
5v+eTLl5bopv+ff+x2t55r9+7e+kimz9AZqc5D4I5bV2vxIx/k6qqNIf1PEsyViBXQD6dZL4fydV
xD/AElC7tMDDAjjkj//KqVh/QDdAbghWE2h1ECP676gzv8Au/pVSAYwKMA/NSw79skj+zVgrCb8U
L5ewmQstkm6v/KdT6Nm7jb3zT/7O9v2Df8d/dvaGP9me54W2s9/uf26xr7d/utvt9udo395fAJGe
VfvfPs9ZBU3lkArMQbp1H90Hf2N7jrd1fxmkd9JImvIqi/S2ibNkY1ri9I21/a172B7sR9/1B9ve
2V83vn1n+7ZNm+7Wcd0rx73ybx3bu3IvPMEqrv1LHuvtE5ylePOkaVVYE7cH//S08x98+tf55mz3
zv2FlkjrfNzUeXq8lSsDR12aYoSveLt1XNd/+PfpyT9s3dPB3h2eDv7T4VTbrn84PD3xRPb1Zmff
7e42u81m42021/bR2zp752pLJHy9vna2jm1f285xy1O7Wzps6zq3V47t2Ftvf+tcXbkO4fJXBvdV
AvfXDOCl6FhTlL9Ga9c23NCJDt+9ffx+Cu2T7X09OqJ9qdusdQQ+mBbnqIl0MIyBZfz2yj24rns4
MSUOzIqXgLT92j4xZt+ZFTYddli/ww8yYfw7m7/a8c01jognppN9tPkWf1qDebfbHPn39p6+dPfO
7YF+Y74d/HX0Xdc5Or6/8/hBvt7vHWeNQf9AjJz8tUMje8uI8TuMl+8yIlf8IL3/eDitg3By+Z2P
Z8vFAFpn0y8LBKYapYBKJrPF5x15OntzcHcvXWHzCjwV/3UuDABFhgsDsE6hX5pdDChr4zrSj3Tn
4X7rrJ3AH9yT61ztdgeC7onA3fE/lym823hebfNHf0uXHtyt/2T77qO/8f0nd3c6MRysaae70La/
sML59CLj5O2ZEI/2nbO3X6Jpt9mddnfPu9B+vls/9PvD6Sm2Hxb7e2jvCLfd3d3pji+fn1kpfZtJ
cLxn0vLv2+29d7/9ycBut/f2w91uN9l2aG+YNV+uj8cvx/3W+7Tbb/+8v3W8jXPruAfH8+5d+9v1
OoLE2T2zxfb2+2sWgf2W7nZZd14WIt78JwvSwWV2bbcOr7cjYq6crXckEl5+8PM9f73Oz3v36vbx
0XXvnT8vxMFaR/toRpyVRdsaOrexDghLyCMdQSA41w6B6myveFbHubQTvIAlPmrxbGtCIENJ8rXF
047wd35ud7HNgK6Bzow78ZLMK75kuvB/9p6RX790T/6D+7C7O7iPJYO+sR+vvq/zhwc+bezNw82w
rvBM0zuCxrn3mGVeZXvHb4m9J872rivb7i0r4ZNlf/KO67x27a3rsRXY+3U1uDDDzhBab3aDcxW6
QOpqBORZot2nh9069e8/HjrQIBfG7mzHY9+XBIkWrgicEwvOug9crX3HW64LEKFFIBFfzBwC7Yqu
IrxZtviS/uB7W2Ly4Hp7/shP+zu6f8t32T/4MzPBYU657Nd8JB+//ohf8vu7BwaPxYK597Igri3u
fOeJH+ERbIdRWH+cLzx7nU5b2uVn+cSbzYmPZwrwUUzl3c5bV9vD4dFlv9o92HQUv8NmtEYgKycP
x+/zeeuHOdf8gSXiwBMxFTnVMK6fvf36o95+x/gfX1Yt3nq7KXl5htb2vS3xvK7z6xrOs234zTvn
G5/KpHP2x3Vqr91ER62/TWDkrDgMl8Nffzxk6ynnX6FPVQ4QOUwlqmpU2wCVnRW1UXaCJWvN6FCh
R3IMlyFw+jEfroQITzRRJ88JC+AScPF1lPzdKCRl+I9YU7yRJk/wl9bGEsubBn7UbVotGYobs3nh
1c7r9S+vxpHWQoeJNztnWsKXDRFX4dUic5RG2OfCSttYBetErbjE+H7nlciWobROZ2LAfX5e0HTc
PJYaxhX+gqMTFHmwKcEg+x+P1juv9KqVMxhRU5aywBgixxEFvNFYmXeAYUDbTF3wm4Vyeo+7AvBp
EQw+d4CzptZsnN4ElCxBDmibEYbpKgdkXHoh8W0AImgM4BamL4wuST1b7Rd0J1ZiYke5UM9DV47g
GNsVenVf8GEuPgtxqdVOFKqh4IPAHA6dPJA3rFHNB3XdZfNnE9YgEiipwLV0Vnrt21yTbPHwWsJf
nZoHGPQQD63OqwwUt9CJwwRiMy3TiFNxJyEekVVikt9GZDsLxyjmQHKQeoAWZQpiWbuZRQ+DWqGE
5LQmmnXINmIBC4Y11X4u5dgXXg6KcTtLkzh6jY70Hsx7QEobK5PbzyNAmQjRcQy17VAl9nAtHv8s
zYK0LoaGSBEUS94p6ByR2bVH9Dck0uWqQWZAbAucnPrps9IqeXmIhGXGRg/NQLKF+sjsUbQIB83W
jEeVhAyyh8iv4BNGLXfV8lWtom5gx2kiqgrxQoI0Vub8E0IM6G3lamQWDtwKiLNAq2OsY4Uma1CJ
qq3HAXfHr2VjdIObTDV+d0GMSKODPV5leWJkqYcpFUbZSTqs0shgKBL4FIx1IhdfNevPRezF2UZK
EUvGQjIhVCAd1zZbqIfI2AUBgnOHmho1Yitovmm+UTfJLZiP/8PemS1HimTd+okoAwccuAUiNEup
lFJK6QbLScyDM8PbnGc5L3Y+qrr7SCH9GZZ9/d90t7VZlSvA8WHvtb4FNgwmn3yRsjFeykzZlM4c
Z/GuEMO61m4ZRKqFGrDD6z43FMXlOiVpuLFNSQYjStKbooknl7z50vpWibi56xxRPFFGLr7TRXSX
0GndcQiB7RBEOUo9u1oMq5A7AtPi7gsouCTeE3k6z0EP6w8q3Wyrl6ofRwR7vTfxaQurSndNs5KE
mY+zDHpt+wuqvE7gkMyW5ifDao5hK1TynJP7dW1UcEzCtc6tKtRjcgn9lPmr7VAZQro0wUs/DcMo
CMyF40nIrE7VNlb0BXyT9j/Bv4UbSkWW4M4rTK84LZsxf/RmYachMaCEHLW12+sBfnxyv1PkMsrn
VXl3JVG07X5xV/hYLWXZOABZM/2C0exe0cSk/LqQA7f4OTy9Miimvs9PES/MT0Tx9tTzDK+8XDRg
cqFtK+fFIiuT6GxF8frasuGLnOXdRFhwZBTj7cI68qMwJnBgw5pOPSbirUFjN21+P4/MkR07iPZl
XlxSLslQVMD5XO0WV3pFccy0hnNqY2W1dzW3ofBm9/0cKL6ixZe6yh7qVHnQH7tF8C3qWFVghMno
yoTlg7mErNOMwq7AmExTbrX9hGa+u2tbl6dFV7m7lfgrB9+ch+pWRyAw+tKoxuS07ZyuvRxg/m5w
nbLWQ9IQYAFCHFgm6oCNp9NNc7o5WIXX3EVu6T1meip+GFA1QMbqtrrrKoza1+000SBqIa8Rcypm
QcBpVMmdyr2h3UOGKD7BG4J1BW4uV6e4YcSzIgA9p31PFML1XK3VZYtzku9+HHQyIzWWWq8bMoQS
srS/9FOiPLasgubRRK/vS0eH0QxzZcEYUpm20BZwq7YIa3p0VjCxpqCrN/PiGplTu3HLE1Jhu9lK
e0BRhUAnPKvUg03Wxk+5PqknQCHkOm8ojWQXxwuF3qmq441c5SbfMerNKFisdijDOkmjeyQslt+V
JW9ibVY6QRGWB/4fd5JJGJt4KCjzO9Rp+aLibk8CSHye8OJfBNnkF2RZy9S39HW+bxpd/pxJb3qw
Ccrqz+KFTopvqjS+B+KXPie1rh5aBxL7RhfSfipJBDsZW8XCjq6bd5YqCB6tWi/9oQpmK9qZWPuC
/S79luQVbgu7zcVVkbcghDoj2gJrxsYlSVym9RcHVh+6dtfq2qCTcXrep9nwFLFOCX+Ip/Ihac3p
vicaqQwJU2g+J05lQkkC3uBLkLlip7IouR7HQVtR1OiZjYaiddu9LBL8P2ol2ZO4xbHd8QA8zJQo
8ZJgVF70hVjGaNkZWe7+sgq7vGvohhFGic+EyGU9ivOTVDXTaQvldjjl+2HTSgcruib8WCA5JFQo
cOGbntax5Wn+NPCVn+Vxbn/RYJTb+54GyD5LGqs6d5Aj4yrD+f9YxTwjnrsaruOsluosot1874KE
2p5mbaGuKOkZ0/BvMsmDIotnJxrNssnEbS6W3FRfO3iquF3lTK+nbroU2hZIX9O3im7MgthV0QWS
ZBsq8Fg2PTuaPlt0dNH/2GaszNAUYnVDFKOGdbJ6oLeCUt8aw5prxw7qlUw+IId0qPphYYmucywI
F6DmFt1PFdlCIRL+4Vs/2tbXzkC842eNnbW+LWROc7zEtmMmRvLY6fxpQQp+ClBXTdNwREPxUwMQ
SupqS/ZaOGbVwEKTNwQNjw3tocCzFmiH+jDw+6aOToyvepB9NFmc+AcLjy3O9Fxf0DE0NRizKoFX
GGWe9j0egUKA8G424hQww89oD8Fj5cQ5l0G6FFYULiUrTaCvTjqHtOiGOgSNStVeFxldxMhJh89a
4rFHT5pWInVIV+mdGIYicjSWDRHvSZy38Z4eWUHGZqqxLGiSnxCunUjunW4hzq6pO+8FxNk8XPKv
Su4xKc0icHqtHq4yL01uWgA1ONW8ljDbasFreBKXLlkHa0niI/mrXs07h7mm8VhGznxUhXWYcVO7
oqgagRrzwXdSnHa26LrPcdW6N0aPbsDPiri4nD2jTn2BPPZumbMeOUPdGF8iJpKxB2XWIMuJHr2a
2HJfq4jAg0Jd5T8c4NeIF2glflliOkX1uOY3i9WYt6m5NidM2PHESxbNxT+bsD/kq/mrEdsr73Ul
bl2NE79fGCaip5j+4F0Fv3MIRi+VOudvpkoTpQhikI1Fz1kDZW4vWy07d5Zl7IO+rghlKa2txVY2
qBWDzFS9jR7fjGCXZMjECCsAthoCjeektCRETvlu7rRfWydnz4TktuHf+PgAsWIRvB7oYc27tWPm
+Zw+zCdIuepaIiW7mZeaWdeV27vXhYs9aJl+1Y073ZNtW7lBo42xjnGQllYQM+svM7ctnq1Bz38O
OUq2UIPn9EmX7SJ9qaKWL0T30ENN65COR2oE7+4xPDWSOKjR49pEwX1wgS8VYFdokF+9lBgxmrJz
MMv8mPD93TVmGwTEDwd+ugIokN+W3GDgWqB12X3YAr2dqUz73ByA4GGhStms/74z/W8H6XUHyeON
vbpKvpPj3n2rEOgGqHTRCX57LcxFX779o//qIpHkubmx/t1Cgl7yny6Sbf6FLhs/qE7cxd8i2/90
kVAQ/eUhwJegCojkQSTPP/Zvae7WmIImhcULK5mFQOmPQj4Pp87WOLKlQQse/Nc/DbDX1VrLmaau
GziLVPTCYJpa0b2cevMUzvH449UT+vRPEeR1D+DwU/h7KI/qBJ8DfIzD0kg/OATuJGMZckd2gtEY
oeWv3s//ZhDk6Aia+RIO3To6whnXqWG3JpAEd/Br9bCir3qkxMn3dVDn2QTXKP1tHh6JX3hO3n5y
GonhhWiQG7kE9F2gHJm7cNaK5bpG8elcWQnXpqCpQDQHSO46F2Us5UJfAxjeXui9t3mc22haf+qo
oiPUd3CgPTPo2ac0uJqmA7IYjVaZfBI4L7xgtuzsxIktN92nSzRX4Ubdzn1NJ5D51LJQyaAmixQX
HTnGS8hGZ/wScISfqnQafxaxGa+h15RCD5TEhRuMc7l6aPrKnhrBvJLEYxPyCnVRWNpLK+v6inB7
yXEgScEIt4Qs/4KolnJkrpE4BANysrsZ1VXMrmaLL5VbR9fGkEOkLSOsrMG8Ri0aBKc0pqCuhmwK
SzEorlN6Fj9ag5gIkRgmQrwB+iBhlkMlUs4yUnIKXrhnBoZu9S8qt/qBfMlSr4NVjdWDLYiOAIMl
xY9et6xzE3XHlp0ssm/8+yGdj8aArhYXN8fmRnNStLy2SMRFTWwGwotMZr7TOPY3PZOOtmleKwSL
ozuMQe1wjsO6AdKc/79arxC5QGTA9VpdukvOoV1JslDhrqzsV6nbDu5pqsk5v1w65SWBdNpO5/lj
gLo1lG6tQVJJ+5m0CK3bwF3tbdULZIvKNnnO+qh1ZmCP63Klq7J9AAfLVS92l+x+Lqf6O0JL5NKi
nPUV28gsC+6WRWMEQ2fP7YUhqywPehOczQVAJItH4FjZr8iIoy/AEKd7k7MiigXwYT3gU0S5VtA5
LjhYMcTtZ26e9bPQs+yTXa7dDFddFg9J7qpnAROLxAEg3zdVIpYojBtDPuR6WV1xCekvqjJ1qQWZ
1bDsotgZbiIEdctpk/TuVzP15Pe2hZbtc7PV0tDesjntzDKujFryJmAbd/deXOV3Y+c5Z3VV9pOf
YP4mmL6YcpIXELv6Rq0tp1pO3DZ/R9I+2x2uAozxS5WjzUFqC5l19b6NEyRWpmvTJsiKIsLDF8cy
kQNpa/qtjs22C0gktbmNlAWh2JIDxhjq+lJ3gY2ejeOuvcZnmatxdl3aze5JWndS+O48zLeYuoCA
G6IgI1vBjVbBavdWHGjFVH7rxNzcjrUjf3LkjU5nTKIj9HKpfZ2T9Lk23IKPrNWtx8ihxALoT64z
JyiJ/0ikQmypJlN3W6BELgIL4HLmEw0h+t0SWRE5sZnRA+nVYuNCzrN+M9uDtTAh114FHfpwA4FP
0T51rtZFEF+y5YfUZoTmVaU3RGtpW/2iBrmNw0FF826w9C5G5qU10Y5UhQatPvEdZDqXGjc8c3aU
CFCbcuTv0XT7izKItSF6qZp9e1y0sxUiBPYMoypv+6be3nrtiMxf+nIxoPCSQnAuEFKalGr04kui
4ZjYl0MXGz4H8rJjns/r6iMoJimGaYTovq9NNYVqKDIw9V3WDye5nPI7NUZmSAmmdAE3GxUXYKFq
MxjcBXr/7BDXFDQpXG++6hUhe45wDQt+PiePxAsbBIHkqZmexO7cGLt1NaQ4qTPINL5jAUxlGVvq
Jz3ZPv+cw2Eb8im6X+Ji6PVdCiNYg9COaWdX55mmMataQoW48xMQ0mqz89Mm7ra8JIYjviuTaPxK
ILNz45SdKXftGtU9WTRVcrKsAmE0tRbPCsyuyBy4dlOaBWtRi69m6SJeojuga2GCJ2cJ8tkFjJi3
5UgypGZWtwaU2c9JpPGXap0tw6iuYxFockjg8g3iocoj54SKr1aF09qa32zQzqtviaE8Q2aEv8yw
Z74DMnL0e8OtxbmrjfmW8ZYnP7s8jZ/EOPO6BzWXaSAJZmAlNUtt8bt8zGK/m40897vME49FQb6A
na3YHPBgiOvGTecRyafjpaGX6tjX0JA5Ly5pArlfTUlFtA68TpTvWQsSuS/M5BOKpnIOjWZsPm9P
ZKSYakeXDhkiXzOQ6/MuUlVKtbioqjJAjNhc8z+9LrTjSdzPuZgfprQa5h1Xkt7xV2f0oMQb7vPK
LL4smgYg8HZ2qUKtUzMg2GxBngvufPre1+WWDzDLlLcdF6zNWsung4q8KH5EFh+sH1NxOB9EubL7
uSQB+XIcOorQLTDpoF/t+pPdNca167JF7wrc+l/dTOpPJVkqk89dHo69Eyn7nPr2sviDO2xmblO3
fnSjNqhdGc3Lt5ShCi4zVv6oFu7tFA7i8ivVkxLUPqrwezDny5eySbVTql1ghZO1gP4N+SQh2U3q
1BMNvqrbprCq79Q8iu9TjaUVG0LFl2oBkSbbSBvF9ZQMphHmeDlvUb5V92U0FQkRUfH6VI3KuSFQ
iWCYVAwWYvU1PaOgkXNJRizo68CqWzZNrUUiis0IvkRVWsC4NIr3MUEe3JByyoOxleHSKjnW3Wlx
mt9r2UjNfqSk/TjNafwNgjo3fjno668irTtEi6VB8bTWe+jUU1+mDn6ZnuUZ7WZ513oZy6C0ygVs
eonev16sO/aqAvOMbjdnEM7IWZCmPk281wgs/tRU4qtDKJTh50RyPmHKmB4sQWBskBaufd7Zk321
1msHY9ThuBWMTknwTqEP9Qy6r+X67MT6T6TayO4IjlLxrkyX9bbSO/1TVUeUYDRVup+lXWk/Ohon
RVAIuOtYjhQuo61Oegmy3GWmkptSMH9s9lexjFEJUHKgxGPVVo8EVBaPXs7vBOGSXg6x1T6uZj5y
j23Z6thCLqdO5Tc2FRlE5WxPdzNdjJRL4dJbYTzPw8W6pPaCSH+UqAcLOQZIGJOgNnLvS5Gk5mPa
1z3o9rYUd6XRCRGq0cETN6Xt9JBlwrxuM5sQiZXcpuQCt/TgYM9CPRlUacq0yNN6ecjcyRN+Y6ba
ZTtPAufdSJ07WEYT5Occlw3GH3KqdmhEFc45s2pvI0ePfi61wYe80Mb6lptyvvCmkS6Ll0ZE7qyj
hrlAsg5J37bzDvp51SYvYhWGSf7tqr57Sye1IM3b+gvbdvU8GGDo97k+GmdzKYyIeI/YvhqzVt1o
s8zu7EY4JCI4hX5GLaVefGxL9R3I/vZBxY79wFHEvStNfq+/avCR97nXyx8z/CTE4h3GFlOaXRTS
j9XP2WBdZgXLODOIPFXOVr2bPlbT5GpBoqrpRV/E/AkMO2XdxOvbS9dptgpxpqIxnAAHTsdadYc3
CJwrhARTwRKAOly53TBe6WRmfPlkA2d1aOeaui1IyQw5tU4nCWylx99fig6kQLCwKEzSHYZCxKXR
koeJvVSi27gqShVmtW3eCzuuNb9BivysXJTpfucsCa9uWhCJF5al0r3X2MsLaZIERuS2aB4Mp99K
al3eGBdYBQn3jLFMab5V6cbFTKzHPUQQVw95r8jn23GVoSua5qxPDed6pp75ApSou8Xovjzb9kST
wZptkuGaOve+zYM5PxspTjJqkLN725dU4mRrrd+rqSjvJlN0q4+u2DP/t5TxzldMtvbGzPuNGPZb
+3//z5sKxj//xL8rGPIvNg4BYJmJSjiviXLvXzpY2/0LHYAgatZEgbqBk/5TwRB/bbBFZK70oel4
uxty898FDI+6h8fch7LCf28Qqj+wFh8UFci7/JvAhphW4EDXnYN7+EhmQUyAZ+e7QhvDpSfLCLZu
v3v1RD4oXWwFtFeqjn9GMdHbWvRGBbzIt99qHXUNuTscZ3FVebto0GzMJ3PxjANNheSVakeg1u9/
la2DYqY2BBwG9ggP9vXaUBirg2eZBt/QeoSXuFia8Xca/0z//1GU+dEoSCwgoBnEaFJ0eTuKMbhp
1uowrDMrEY8AAsuzvpnX8E+fnQ0RhmoWohHXgiH3dpRWFXrSO15L2o6VOKytM03ZvLVt7joe1zGg
DFNy//sxD6pavC9IPlzsKWshuXjHQeI+opqSzEXwgpU41zVFLmCXZ2AsXHnk530wFNgDC1zYho6k
kP/254mG2kQ55AxVjA1HvGrdN6TMYKcsiyMSkvezEIIjS6RweIy8toNZYeOTdrWq5LyWdtkZ8Yfy
VOLFuARH7t1MRCOe/v4pfjA/3ox3sEMtfb3WcmS8tjLW5rQ0okbbZaNMj4zz0SO0gdAgYOLnUS19
+wgjzEnLJkuBpKiSMci4dyxhnw7rsxmP6shgHz3EvzMddLgI1FcPBvNUK92OuwLgNpGHw9iK60QC
wwPAvoRydq3g9w/xwx/nsvUKvjObZfLtjxutISJUT3AiLgbLJwVQ7NAsOH4ML+nPv2dJlIEJEhYG
OMzqw6FSbcZzx1CJjnmkjew9d9r4yITfHtDbtZBf8WqU7Qe/OreMtKjbzuAH2Wt9kyROfOLSd6DV
aGJ3sXJazO7w9c+f4esht3f6akhD4zypzSSeYKQvuLoX8rrLVgJKSTW6//1Q2zN69+s4InEZtcxN
xvd2qM5rcINpCdKK1Bs+5TVuNs0lHP6/GIXJzscsLVbgg1EiO7JUgmXQrzsCYEEByH061vLk96N8
NNWRY7Axb7stZ823v4WU6bRNFacqrYUuECDhyM8LWUYvZdMl9x7rVX/k4/posvPoWA4J1ZbMxLcj
ZhrZ4Kk0FfIpR54U4/AEMvu7UKSv/f6nffSaIEbrYtu5XCg3bweiuUBBCC0NUcuaQ1wkBXa6wP2R
D+pA4Ms5GWIVDiDOK+C8t9z1t8NQzkqpdFetr0wa811lToG9JoS3NU18Uk21ifHLPomIez4xbRAh
+BCJal1161iS+PvfCzqLiongOLf9WQcfnZcSsjiO7DLwLgp5W3XExZ4l5lB2R96gsS3qbz8ARuLA
pxNvwXXa2f6SV9/a3MVuYsw11YgU+gpNjnGvVGPe12N7FVNqPG8BZ+8AexqUuuluwBKhvuIEvdF7
Z8OiqSNHoffLDWAbgy+SDjl9ls1Q9frvmRbORxp1K+4rLg3vKfYon4h+QrJDopVArNOO8nM39OUx
OuSHIwukiS4HXJ77wctfxgY/nmLVwc0whtz6RTCpSAP1C7HAe6L/rsI/ndX81lcjHnywizBRLRrs
TbNZA46pqfGv1GCO7Ejv5xKj8IJ5cBIw8+Gy4DpTZXKiVL6JhIwkNwL7RgvVw+9/y/vFh1Eo0ejc
bA0aZQdLQYXHOO8cxJt57MnPNSl6O3NLbdAp/H7v03bd/368j94WU3a7c9CSY7N9O0/oeqzklbEt
yWyyCN/kZnshIj0OXLfsrsS4eLjjY06BR37nsXHdt+PKAWA3FliFdq5qL7Kprs9IWFyviK5tLzCS
W4GeZ8aR5e+jh7udNpFGc4BHZvh20LlxS8RaREHmqWF/JZdwHnbCG7OTqfKoCiZkmjz+/vG+X9k9
nP7g+7gCsS3Kgx1rwMRb2V2sCLOj5CoVUljSTEYEKPOfHzs5SnOCQb+s4y0/pPXnRLfmk7Qgl6GJ
3On5CgSgt48dpj/4CiCxb+Q58K/wCw7XlVhI2mqsHzoR80ZgosaVJJi16/Ln7+rNQAdLd7UAmrYE
qkLNaSbyMFGQ5Zlzq6scPkt7LCllm25vl+/tXk1mCLMDhO7f7qxXyzffMUW+BM4U7ODuPHG18oQ+
m35el7aLYluO9zPCqByz9pQcA/p98CnA4rQESbqSC/lhlcmhobHmPbv/qvXeHaQkcYMkZghQGamz
uqUFByErOkZG/2Bmeqhr2CE4BjBvxNtvgTuJ7E1j4jxq0D5rkPX6jZEldJpH7cjK+dEP/PuubHAE
Rvt3MGdcosY7C6ATOJ56vJCDGs5KFK/gMrxNpuog2aWt9y/Bzf94Tf/glQKZp+7AQQS1B/WSNztg
myiafz2jwkIQMeCB1A0niuznNnyT63nLeKxcD+QDXJsji9u7j2TbdDnHCbBtbBmHnyISiqpRihUl
JmHSF3pl7uG8jVd/uLYwysaWhuQK7ffd2tJGs9lOK3N2xUBQQ9HJ1pArbnFqNk51BMb80S9ideH4
SdeYAQ/WsdzaVN0NsJ2cFifNXeSmzyMxtscS397Nyu03bYFrWFeISTx8cumaNe6kgxiBRLWEHQ34
C72gUaeQ7h/Z+T4aCoO6pZvIXthoD3agfoIRXpfU7G2FWYGyhxaCtHtC7ruc/v5FffTwOAvxCSDR
wf++fR+vFhcaJEk6U9b1W0tP4WVz1k1QU+/+eJRtm+Hz4uHpYCXfjtLFTuKhsWcJs8mF1WWXoCeg
Lfz7UT54ahyot3oeY8C9PVg26I41IoOJ4U/2yOGShWpXz252GynaZv/FUNtygWmKSvyhVsgRpUrA
qzS+pYYITBIN7dxE4ktJ5Igu6YMXBHzg/490cC6o6kVF65I1vifHBxeF9a4SUXNkvm3/kjdbDIRn
ypMMgzaNVMGDJ2f0M9igzcRjyFq/VFhaaMJM9ZkX20g/6mmeT37//Db93PsRaZOQDoF5ipyWtzNi
VUVWQKAHKhZ7PEAF2GiuKjgh3ojkB6VXclrNY7yjcwbxDTXri7Zo9ASrZp+YU/7593/ORw+ZF7ml
dFKfJZPm7V+zNVIGN2LmgHpaQ63RSMl2q19/PggiP7Hx1ameHj5kqaaVhCKk+nPaCkyDE3EAuCS8
5g9zNyjKclbwcJ6am3KRzNu3vwaWEalbC5OzyqoZ34wpfSBHexLN4Chpy5Gv7qNnRzQWk4e8ItC/
B2vVMHcEwoyoapzeji7ycVFnDato+OcPz6XggQeOfUseFradwmlN9EMNXcCyvayHpNyBcUqPlGM/
+C08Ni5RrIi8qMMnl1e1liMG386pTnJdTKg+jNRO/rRURIQGDRRqUVs/hULi2/fj0lbttW3uo28p
r8plFmETVe6RNfd9pWMbhkhL29ko59wP3w5TyrW29dIhq2OI0kucKubeUMV5vbnjpD5eu5P9uSHC
c6cSJ7qg3n0uvaY5sr+8O1/xR6AngjlrU23hwb79I/B7Dl4fFxwE5CiQmc1JV32iUaiPl/YwTeRE
TkBfz9oRIPeRifnBosZtwN1SPdmsYZi+HZo4cButplcTu5LRCU90CZesSS9N6FSI7iL+84/nKJsP
q8eGeuehH34JwkGBqbOKWEmS0lk1271Trse+hPe7nMErpULGDEIyfHgdoOYcz63Da5UJprUCaezZ
UmFCAC17zIT8/gkylAtoG3HyZoTZ/pRXhwPWSqm3Nk+wzhEmhUtdIArQscd/8TrT/pkQ1xwd+c63
+fB2J6JUBXt9Y1zTojwMekpyheBJAZtsqhLgqKfsBzVM63eFZiA0jEp8pwwyXzSJWZ+Wreief/8K
309XA3Q5DmUq7oQ5bO3P17+4rBQaiWnAzUoOWlhI5ycaqGfMd9JHElf6g3XsVPl+ydlG5NJKN40q
6+G9v0NNlgroX4iEBHdJNQynfCrHYlg+mDRIgDhPcgijfHPoWSAq1MkrKCrku0Vqb8f50gdeZCT3
BCCY2ZHvwP37/vL6LVJcc2kt0ybmwAMR/uAxGqPhdZ25EPhSWoV2OrBc/9ISQ6uCYcm6u1mPQP/O
nljA/s3u0lyKRTTmCcd7BF90yjAVr5qHedPi+yk3EKm4pPenjeAUHZtUyaqrxzPPXIv8ZMKm1Z5P
bmene9fslvp0qroG7FiWR+Y5k3qJzyNkZcUZobhGHTq9ESen8ZAn9unWTBpOOoWW8VOCSas5M/Mo
d/aoWBKQkEbSuuGsIuOpYfPJg7YgFi/optqFGonsbd3lsjL7z3adg2x03C7ubiHvAcJ26zg2XDpC
2RxduFNUm6cukMblBEhsRgr9qOU/yyoiYV1MDmcdHQbSem5NvXQ4Uo6YnxRvMwq4Hdtj6HR5fzbN
2JhDKxNpv0MTiY9RdvFoBWQgcD3ABJSmOySCLXa6CsHNadFh+sbEZMfxJjfOSBfAXeb50zBwBoCr
r1fnmiwIyBGTliBSSftZht4E5yOoY5n/itDXPs0rZFp/aDjJhRZKGx0X46bxJTl8Kk82KwOvcK2p
haAYSSVYaXSBAXI3T9+PFAbhNeM3is8HZ3ZszrCTCVtgWiNoh8MmxgLkr9VBEbexu3fbpjSCfFql
3MlCEcJA4wHcveDbx7881ukmny6BZOn+6prt6q8Vj9NfjQTLoVXGW/XMXrrxLNYIVws0O4q7AF0i
UrVIRmNHQkWLC7ioug4YXVdzIFKFVPezh5x9Z1ZphmS4NpCoiSTG2s0FOj0bpllbLitFaSnsqgG2
bVstoOQ8UKePqdLHq3ICrBvEWbEue6RYbHZpUUXfeq90rKCuU6wYiLiijpuVbp1nWVS9OGppvyCN
Hl+SVQeuCql2SFBjVk4VlLnn7PJBGWrX9233w2xTgmQoyxbPuNa5udeV8K7X3KivAQkn5snSIj8P
sIuXRdDag8pxOzt05BPbrVBJkR4UwKhOngbOCnE4DpPzfXGz4uvUe/Zl5Ub2JxSLKK8TyTvEKdvP
XAHQG/toHKdPFhXWOnSNqG1Rx2E3zmvPWcLCbrznQlXjigqtBPLu9FLemI6ZFn4t++zWc9xlOMFm
D0W3L2w72zceUvRdvY4tcrJIgvscyz7tgtRykm9zEycv9jrqBu5Ta76MRph9fpvMaG5bhJG5j2mi
zPc2GN5bjcmh+3kvZz3AnVidgKGtkrsRq8jsO1mH8WA2Cqfz6dWaL6mHkSCwzBQNnVarIUHwr7hR
9dbQfS7cRedrNjRxK+1YPabmSH7FAFt/YWIZZQOcVIkG5Xva5KGeaTGQyn4ubmbMue2lqcXVp6p3
ZbMDmorEEV22cTWblf4rX10gympt2/arlK43f+MkbpcXG6c33iOPS6dzPIequdTs3Cs+izwt1KWB
niv6pCwy5i5jvW++rpaxJA9x5anoxwjDQL8TqirHPW/IdW6Vw9J5aiEIJrVJryaJS1dDDevwndi4
wWW0XlSjgD+u8sgeztvaAy8Mym7pUb4Ifp9f5DI2zth05vak1ddYgg93kugE33v0KzOjScfn1ydR
qKPAL0Gve0OHbr1L6RTF6ex9H4zK0Gj1s2PHp5HhqPQWd5SwzrWM0/rei6xM7tBBVuuZF4mp+ZQ4
dHy+bhPB/JVa46xnvBcMKbAUm0mfb3MOiNUjmN88u6uWVa3n7AAWdX5rjor8IYpRxFenAw5wzOrw
ehqH0BS7jWfjdK4RxONIn9ysfYkGNy4+r7ZVmBfpXCy8+UnfHODwuLP80wKrwg1qd8ynGwvDeLSf
hJbHgT6Ckwzj0eRH1cIqqphbajuLqw5jYXUxEU7vsUTWjbydEllYAb+WhZjDivB8hbPTC8YhqTjb
Zn39aOXQCPaLmS/rQz7EsTqPMe2sO53aHsVGvKvDFT6rQdyB1s+FBdA9Fy5YXn0097hBAI+2lle2
N6vb0fgd81Kbd6i3IxnoPDkVDFyZ7mPTmW90dNR3ZmTA82hMosj8GkvqD2l0nFymCEQv2z/WiWBB
SPC0mivYWtStfKq90y4+B/kGkemoi+oSUfJohBpI5jIobUMDDG/aWpi7A0F/Syq0/u+Yz8dEo0e4
67er3y6PiviaHIPsOqHEqPs4jrKvpVOgp4U73/6a+adXrA41pTpdegnPx8LKzV1EIb6yCJj6RqGl
aK/WztnQtgv35cB0GnrA7NWDHYzaDCk1ywzvrNIM93NdiFg/b5JxQK+te8uNPZLLhjEnYZF2mnx0
zyNXxUmwAEL/aaG1xwteVepntsTWTRx1UDnHIhpkiLHWFj7AHUztlZBNiO+q/lq02aD2bZHVd7Vm
EwOgAWSnK4S15ZOBPcxhZ6qLEh3S2pFwmOIEgLwqyhpf8ZD/QniSgK0o3HHiSFf3Mkg77D3PdtF0
wteXWF17EaYgbMHpMIeZ5ThZoHMg/MJlFyRIvaAHduZqyvd5UoLddrw4L3Y4rbrvLkYGB7H2Ck/c
rFX8POu5TZ4VEwvU/dI8WVx8qk0WG3sBofQtTH1De2jnxcG6vJrgLSJ77X+ORm9+NoWaf05YCn5Q
AvHubLMyn0wSBCAlJLH2YvbT8ImiRvG9H1nG/ShGxQucWJt+LObo/fC0Io1PeGXpE/Tz9Xs71fm5
VWQG2inL7X5661z/oPmTTAEmchD2HHuQSmfEHLS+qbnqQrizN53oi+08pPGSGLtiMGormDvCPHao
mxH/juZUMEn6ahW7xHVxd4jIdLSTKhuy+/T/sXcmy7Ei27b9lWO3Txo1TuN2AohSUqiuOpi2pE1d
Ozjw9W/Ezkx7mfns2LX72qenXSiCIABfvtacY6rGAb6RNM6PQTpjsq1zK8GHP/q1HYCyp2oRY6er
HTLZwguZb0GjjmNX7W0/M9Mg1Ygo3Ax6UrhX1bownqUD718Qt0PpwzpwlipiIFhO70pfyi7QCKaI
SahfXGXcpgwx+BLjBTRJkJNscI7BHpgbeymaKYB0YZoIz5FykcPgpePG9YHqXrT+VD9uPZofvmJR
SKxmhcDvDfjxVlPP4h3wHLj+5prl753jzSq06J87m5px0NZxyFqPyqqCg4w7strmdsmPgCFSoMuZ
O71buZE89wXFxt5OYgWxQY/VqRxn9YKv2G8C3yjbc1G6It3i/kEcwNPUlVurGXT2eP6KBw/tfbME
6eSSXqA5Rmozhax0J1rHqr138lHf5KubiruqSHKcQ66WS1C3Xos3rnLc21HjxBwcL2npXieWj3fZ
yL23OUkvPUVcju0NOR0mkIa8cg6NVc5Ad2bNnsLSw+oM5sLHhcWz5WJkWTO73LLsaWcTjtQYeqka
jkbGJn6XK5eKQBDYtbFMhPXYF43kLU06zwitAkB+xE1K4MXos+6GLpaDJIyhPp98/Dz2LqOxSHir
nuLsIGal/5D2lKvt5PfmukmHdGUC5NfF9+J0E2z6MU/urFn3PmzNIA4FgSm8BGjnw+sqE2Ju9Bqa
EHCJLLPYBRTyxiIe8lWZqU/BsSb6Q0XkQM2SsfCogiiOZZZkluaCdem7GKZx7zync+oRGW3lzlUv
6uKujhEQBqk1JfcrmTY6hqluPs1TzAFNZYJhx5QyfZnW1jdDt7GhOqMh8lHQpnN2u3Sm+T5nM/KA
Ga/Eg8Qvz+ObnIosqOMJg6NaDfupN/Xlney92AdqPllt4PqaWwe+cPGQxOPlmTpbikaKOfn61Szc
Ls0+AbiTGjBRnMJlWATgdNseWB3XMXbaSIxl8lXXcWltRYp4fNvwBflb262xckJRUGXImazu2Rx3
n3BWLq37BkT9dmndYdj7HgCWwBV13gftmFtULH1fLttlqRlTuPBu7ld9Stg+LPMotpg9hwMfS/4s
Tat7MVZS7pcmvziNpNd867W+/hCDR0Y8sj17Dq3Uc4ewzdskamhAczeaqBtYxmc7iYasx/O52Ejr
5crDgUojs0Okk85jD6n+OZa50YdFusZ3+jJkPIXjptpjMqjKa0Mr4j4Y20m7wcrKNsXJjOywlL5I
9sXisu/Ml5ZicibnwA0sURjH2EKxuKlW+3JpCOneqnT2nkTbWV5gyrb+nvRcPYyN9F/aEXAL45ph
OuXpxV201Lb3YGbt/NMt8pHFUsbu3UTtfr2oGfiSMrldRxM7RaCzF3oqjRyFGvk+zh35CXUX4E9u
vqGxrPfYHlHvJna8vKC3lVbgm8X0QNSpejcrX2HJo2o5CIzA4sgKuAjMNIU5BJdNY7MbtIZla21z
HkWrLIBzC3gNS0BoePOYr0Xe7ZNcoy+N7XBl2St9/IJmlk0ibI0xfo2XubsHY7ba6LGnegkXxLkk
Cq9mHAfC7fH12pOpl4FFL78PBLcKPHaRz9uyT/1306+xL1TpYsk9tk3/CilYm/4AztK729VuL00C
YBL3CJUvcKAhw8dEt64W+17qvYpER/85QmLjA+pmI2mvOPoEk/5phX9eTrVeId4pKMcPXezFX5TD
OYj4dRz7/VxMcb+zNBfmEfW0rzPolLm7RSkKB6eMdeTsaynTfTUn2vIyqrGgO+CjowkWPaX1OQ+W
zDeGNPTpwHa8LUNbc6bHvlFmFnGxWXFQxoSCBj6XRB6WGdETt3phuNpmxQjdhkVpJHlI299Jruq2
abrt4Da1e6rILrIDlLHOSFCBV2EWbGK9oFBZ529MiThWnYbIrFHLuFOKSgAY0tJleKPSLh4XlRC0
lNncyVHt9dSHZMFVz+48eaRt5MOCb4qHOIt3XFAmLyR9Z+y05uYdi0fPu6QIwLgVavHsFslagrHv
sH8bJSy5k7+OLS4Q3yY3pxNLaZIY4WHMdfwq/qpUKfOgtJXnABup4wN4mHjZ+D54k5OhLsNEwDK5
E7AFt5yAONn0FUcgPu4mY1rAAsN6LkJGO7kJriUdoM4IuCWtS7ZdHWjNSiTIU8Emoz786iH+h6bx
F5rGRaSElO3fW1Aevvska7//akL543f+MKFY7m8XwAkDVMRdyMQvKsA/TCiW+M0kHhPxAOM49k5/
gbFr/m+wj/DSMuRCxYcclU7n0Iwy/e//0gzjN3AXJiYsdI60jkkL/f+3oYD9vMA4EC+YFz8K++q/
t4IJXvZFhylx4xUV3Z6+eON2+x/GyP9o/v4/7/EPdaAtSQpwEJ2AD2QEnyxDGlGX/U9ZmUhZ/t5V
//U+TAI9PoZnm/jG/v5ZmLeD3qTzCruoJOkAlF7DPtOtta+6EdX72Le0XTKk12+2l7mXakgRjEvu
llxCuqVGHcRpNWp7OVVgFvPFTJnFuuP6aop+IQWjL4ufODDJ20Al0S3R7Br6vaoniwyJoiu9+i0n
Ny85JGyRgVYkXdNdqYL6Nah9h2fMJnO0zthpJCuhvxUkNQUNe/QXAmwvxj+jr4gWcsbB36tUT7sN
x1IYASO0DpQECECi8BxPzrSLHAuonVVJvKikaY2RbV3ojJgd7M+WJZ0OPmmelO6FdB7Z5LYgInuw
lPhWSIU7TZy7mPZVZ3zpSe5RCHssDL3qs7tchxS4kXrXdkHlGWMfsInUXsh9ZtfHVhVXAzVOvR5r
V5PTxp8qqrC0uFCzRm2Y5s3Y0MgIfV+ty2HKcvXa+ApAWIcB5EGvk/xgOrMsN4Rf+NfYT9wuUAaE
2U3ei+owtYXUNxWYy2ejbenvrI6A6VhPA/CVhZyyD3egaWr5ywuoMgrp1s8yRb7xB3t6+Wgsgiag
1+nzwzBoa7mjeZQi+a1dPKxiQaUc4SYya6Qm3A2bwdPSG4c3JxJ+asone5GKLZRee7u1WhzcRcui
bmDmJerKEgPBeFpK7N8WdUyBhbOSTZCSQvYsl4ykL2O5xJSJyrZeiPrKSELzsuLBpPH4HFvs5lm0
clOFTPqbqykBXlVQeaxHS8baS1v5RLDl0BAauIW6TzN0imtQW7LMUWuX652tVqiePWZr6KFO5aTE
wBB5E1rGYpTB4Fn+w1Bp40cy0pgKDAiGNabmyf4JRCxOAjBc9BoQz9agQ2jGCLaRA7PyYaRGkrKS
6RU6J6J1iJVfN0YvxZ1yBG7oycjcG7Am+Ao0mmb26RKwWIBSk4SPQB8YP/F4MQb8z9rS/yM2Fffh
xefy79eW+6z5167/qL++//XV/Oum6eXf1pk/fv/PdQYmEyNFgj1A6Do44pjK/t91hhBTndXkj3/h
8ftnkiq/hSoFJRF6L8xuv0Tzf64z7m8+UgcSgTGwQJ1EWv+/WWf+MfGknLRwflFWXWRyvqf/Y50B
RjX0cnDfR2ivbaPd4cWqdG/bGDSkPGvTtws5hlP++4X0bxWI/xh0/v6unGcSTVhE/X/mJ2ujQ3t3
dt/n8ein4qqaIrOhxHTzcF1f//Ll3P4+9vsrJMp0Lx/hL+NApJI6Yn/AV5xozpr9D8GDOelOwagQ
dGLTLBo3aJHpkVcDUIgmP25PneL5ji6n6iJ9xFkYDIND7y8d5oYhRJGk/tnvW3sEazJkd7IwtSeV
D4lFFGcCro/pVvzSsnU1Ao38FHvD9rVUwTDLgiBPAonycO4Bm+5MVD79xlusUkaOhr0ZHOsSv0i2
8AnUjsw/5KUcrY0B3fKtqZppPIhad1+txqRL1NR9l+5FYjY/oXgkVaj6XolnXOpWF1BaC525QgZO
ld5TDXyLpXAT27XxaDc6vTB/7eBAOQYG08DWU40QRrr+JI2JtaZtbIxM2IED2G+XPZOBhdLRie/L
q1DY5O+FGsGPNyAc6F6bgjB0lvIEBARg4hnnamVcQloZCABTSbouOS3T5Bkb3cptyE6avThHMqud
k57PHs/iQbC/96fEvMkcaNwQaqwblI0zE49qvbfb5HVINNZZYC59GVRObQ2h5bI5oPOguQumrQKM
8ND3MT2hWNKRuOSFlQBiVwB8moRaEhHWnvRhJaBpbFt97omHs/neA2OcqNcbwxjl/Upi+A5Rb6Od
7bT0vuZMFbhw9EWOBEEjLdn2uSiTkwWFMD5YnQf6wV5F89qMIv/uUB7N9DHz1o1MbH+YVmranhH0
Hi+9zCmna98f+iYsR83HB+sALPJJX1Rb0+rr4gwjJ2F65Qw6+zt45EzM0jrXOfXEa+1opbZdSHRn
nR81OkUJDBoAsR2TjDSr7zpoRWxkjCn9RKGP2zCXegvXERCHYJJW5ZzCxS/2DVGgNHe4xN66yeYV
zQz8VEDmYfUhE3lxhsjcuyE1M3+sy1b5u8xS5tFvxco5h3esgtTIcpz7CaM/YS61e4R2DMbFY9g1
RqMXWwe7E/mFSawPID2LSj6mjV1csNHTePKrS3geZ42BFttA7Uq6ppaHkz235U4mq9QY76bDbWeo
9iPvq6kPcePhZFxTT/uYrEXez4wtnpt5ST99pxqvYF4QNqdxoZHQLPEOBUlaez9GZ5yTjemCEqdR
yAcMjVIBIVh606FUickcvYAbyCU1llXB8IBewFUopens5gHP7cYAlnBH50Del0lGPDLRli1Dx7l4
7iYnfdEcqX2ifNFkKDo1f07Z7H0ODFNuy8ITEskIvfENnZIFIV93+R76Ui3HvHPSy7FMNcNomSzk
YaaLTwBe388SjBBmjEPlI2HbAGIFcIkGcH5tsN/djgyg5HbVDPMWJbYB1SkD1rWNrSQrQ9Md5ffY
D9PtqkzD3GLZ8L89v4EkDHezeKC9DsODvLniCQJZD2qBnucbCX1Fu7Xw0bkRnG5OT5pBf4KZkw5P
mVmrnFsjpy00l9yvtO7b2ouaFKR9MDnW8jNzsphOYyavHenwgbx1JVpXJY51qxOC+FLnc/WylrpG
NTTHHfWlh6+EEGXkXyFyKCPdYQj3fkBvT+PNkNrq1MV2VYVZ48GTGqw86w/04CYHDdyQkAygCVs7
McvoVvDm3h/Ky/9slv+6WbYci23qvy9oHptP4JMs9H/bLv/+W38yG5zfqA5YWj0DWRI/sYX7o4xx
9N+obUwXBTcLOSULxdOfZYzzG/pP9tIotRArXERNf9kuW78h2MRcpetYmX0kqf+bMsbESPj3ZR7b
jU5SGlwA1+PlnH/KxZLZYtrXopNpnKU+NpZImRzPSm2Z9Mgt6ML1MNsrmKBqEoXG9aklT1hOnLOa
WAviobcjj33gri1y+rJ1UqNJSb8FbDgmm6Y4Vp70k42rde5JJx4QsQc7LThdY73VQSK+6siGz00P
E8XILbapzqR9Zr6hPhgAb5vWuV28ST/gDmxOXWL4T3OVvBqxN787hY0IxKvje1IWmpu6HY03OzFH
6Kttf1sKLayS+Gv0tfrKhOz3RJyk2MZz1XxNsTkVm5Kp33ZGfnL2B28IWWmsU84cdaNrsKXURI0C
2tELiXFnJ+SQB3kuGYHvSV4obq2ZzZBbGX0g7bXZxuOIUITk1Ju4jUn3bhfEF6Xs79L63TOkCqU1
MRAyRbcxG4ZKRGGuNNqR8aA1GjeOnr30OoDd0lLJ0yLYQKYwNRlJVtWRZ8HBLZdzkyFuWxmI75Tu
yAtCuNjOMwGTwkO+EyovZ/gz52sFPM2zeOFpOuTx2ETlPE2BXY6uF7RUHuHQGF3QjLEXeTFU38iy
pEsuPGOt8rPoBDaWhLb7nvqh9w/avOTn9cJluwy2Yk0c88HVnmWh1AmyfnUmbE7SXyz8fWJQDDkd
pydcpqXetkLU26a2i61O1DC70LHoev62Gj/oDcGU9nTwwLUNuw3s2F54ItKKOep1NV4V+afR/2Cs
uzHFutXtYtkjiXqz1fCyAuUAbvlsr9muiOtdFwOlT74bO/0J3Pc4KaI9CuNbT6oneFCEZCAHKl2L
gMr6kMCNdy3tuir0Lfr5m6VJ7kn0PCEjP3VVul8Yzd4w2LBCsxnoR5ND3B2hLZOuaVQg0Wxqo+Vh
zDKT/uai3Y2UgoA0gK7BOR6y+jEHwIibzCDvPRfXpubV0WDwPBf13ouLKMspaXo9Yle+Qdizm83p
DfHNTnWkyE8/xti+05wIicy9nb7Ey7sB1xsq4RQjgZBE1Utr62YyuVkNL+I63Ol1Aeu62aqSOVpm
9YwnprvBdZnr+POW8ftutBBFjPROl+yFQeLeKdpICgDOLlTyHtJ1e3kNBxdxKRFRmIx1f5JdAqOt
vXAgD3E77Tpohzvd0qew8/OnrrXyrRUnj0xlyX9fiHG2u/ZnWdgbXWi3NmPX0vGfJFw/2j4cedzA
9tNaYgv0a7v9zlLySFdIIJWLtKdj1rcpanYBSul6VBAbwE7A2aDX2ymr/Am6VX+vG7+8dvMCNZu3
oBIYXgw/i0g7RzOl7SsNoJTvo3GBk9qs5s/FG9Ndivfbdu6knnxx174wv8GQEJBZfK7s67Wwvm0H
4reePM1UDYFfDwy6a+08FIwOs7H+MEqtCMakZro15/cpKkSAb+U51s3rWKDB0Bl0wm0Vt7GRfc45
oPDBVbcAOe9mx3kb5+7FmcDf+6V2teblA1CXk2hhc5v1cKfL8o3JLNdncd1cuvZmfUCmEI3JhfbW
5MtmksaPRA2fqpfPI5q+YJDYIqtS+8F68sFU6GSM5h4Z4nOXdk8io11GF+Y9ro2a4zVD6VBOLYO4
GwWMQEPbqmw8U74EZIJ0t82MvKsj9lmhIBmaT9FweRbc3+ugn1x5m1oEJzfvcz1tvT67gsIaFNqr
NYtg7MHAJ2L9iGMeOW6+uyTUW5jguUBHFBhGFnTtTeob+3W0Q7qN75Oqlg9YbVsTZqRZPLXxSecx
qOvjz8WVP+E8biqkcYjpkmnDDOvn3PWg9iq21FwGa0+0Qgk1cY6oa95J/v4xWz5bBu2W9YhrNj1p
GFAcdHp0AQPR+UWgtEQLDNlVgdNad108fHZwaLe+W78slbrFb7ZlcP8kXGig0/Bjbcqo8Y2CUX3H
jEhjrEH6jDWoKSjlBHB0+jma4pyv+jNmpRuykG7R5R0A69aosNB5trm1GSfEfLpKi0M+dC6T1EUF
SGVDpdVoW+hJAFYn7wdPKDuDKX9KEKAxVdpXlYkc3JBfbh0/zvrw5TEIPlU5/FUFg5FUkRaJY3yQ
7k4jZeISQ9I7OFCIe0aelLlqG1/IItl6IP097yHZqvE6ydsvTBmKv86v5s7mJFdI7pgzg4hDbomP
Aa20kjfZ0jxnFXQwO44MVHIX+xV4RG7ds1lxJegNhn4/5Vo3X+ZqkC865N2fcwtqcTUTsH7+sFd6
ShBO0+s7vUW20vGoJ+ZkvuEh82lk5bmIDe2OMjwaUogo3mCfoAr7gQvPwBqcM0s57RLu1dYuArIA
3rr1y+mrKLZIyRkf2HOfGiu9ivvuQWRWlEzGZ57q9bYmQnmPciowks+87XouxIxpPLt0zQp74Kh7
q+uPJJHYZ4VMbK+G9xRc3eJgVjIutltQsRI1rqKP3UODdxTCO7+7xVd66I1ybxKanaZxULhvJGQc
dDfdwgsOBNukcrqdSC3OKZeUmZx9ULBTUYQ512+pvQ5MUFOgnc6hFCQrdTQuybhnNH40oaCiSWBT
w/fnm1QOeoh8Uui3WV2TJF/uUj8GRpje6PVnbXdv2Hs3DJPJjUiuRrcMVWq/NH7Ho7gOm7kEF6re
4fwFM5UF7Y8JNWtzA55/mw7e3jAlUzqLnrZ9GLw0WizrRNsAxTq4VlTXsl0xZY0UAtVrUVqHcSD3
XlnXrewedDG9wx9lYgdJFB5gXxAr3pjbGswjbN8rx/mRN9atzv6oUxf5nrdrGuMu5VKxrJ8j3jDV
J8fWashJepyQSYkVzqOXvFfMPHP9ZSBpuxzWW1OW577it/JSi+qho5WGWMNWR4KhOPo6R8GKIKoX
CK0GMti9YnjUy+lYCPMwT1mQIHf106bZaiNERXr0+0HYNA7sMUJT01xTW9JLSpORYWZ6+dIfWZFC
h2omJf7q5NdevJvb7KuvhuVst4R1xP526QbniOJBbGfL+3Sz8pr2NxWsmcEqGt1DunZQLYszCWzb
Sjefbd2IEORcwybjiSiAIw7ttWdAkuErGg1HbCb8uzfCRz+Unta6/9lrFDvEW5MrEy9Vd9NBEQm8
Fe0e1ObHznDLSBm0r7V18MMJCXpQQGxkP9jZ4WSCRaz5722COBRmqPKsvZHt6Cjtasf4MTRFNJnZ
QXlelLcxR5qc3Uz7yLI4qkeWeH9qTnAFAnpMN2k3VTu997YEetAY+gUXmUNMslG3WNdNo45MWaIB
RkRs+QdKu4h+YOi7feSJ66zU0DfLoCRGT9dQWyjklJYRv8WUtUZDTBWiRaNGmcJAZSdtqNivpkWV
tBmJDNG0EY0EOuLCSxGSXvSYLrzvxI4y+74db6hm2TuXmLvtjZB7w532ljdy01UJ/ut+WziDQ2WL
15D9SkWEh4bqvyqe5cXJ0zdX1irMSJRLaOVim3FCikVMocFCuXfVYyVf22XX6ndieZ6WeI+bBs1v
tyUh7FkbRCTHJQBpTifAsF6QgQNivTVGPDWV/i1sscfKD4CBT2AUu9RlP6Te0tkl/UU8DzyYE/HT
NNpwLruDUaHABIUfppm5kfxlRklvq0va0/TYCcJ8uED8EZnVyiyxnI9DPodJkW2N1eUh3AHfJNuc
QhgDhQYfN9GvjfKx8l/z7sD448Yp3aOguaclfuTTneBJUKaoYuj1ZEU8E+JF09C0VBY2ihfttShm
omjaxlbUrX1gnttdvtCd65vZbuQPGt2Nej1NpROuhCod0SgP4VB+YEp7uzREvCKuInvqH2qe+6of
N7i20dynt9VI/YsnZnlIm3jjemfHT68HA8uIWW9duey4Cw5pWxG20quDiz6Prz2pv/u28/YJXgEo
G5uqyw8LcGzLcjbFEt8P8rmqiDXzrWeZIR43+o0w4L6gu3iMrSzS0TlXTOsw5YVYPrRdD+feMmCJ
g28brgocKyhLdgPhRVz+gmVVJk88WO46Xd/5JBfRZaQ5aNvkt5nowniezOhTBqMdwhIQKcU38pLY
IQkuW8gVoiW8qvUUF9VuQviPLMPG/JAk6dGgFbbqLY7iakZY4SGWr6vtKuFzJH6Y0W4k4074e9m/
9B3VDDy8fCqjKcWcMdCnTm9ob7Z0axTFRHJva15z4yB33bjYMfqZx5b5sqInHW3tphkW7mE/VLWE
QECXGh5IWji0x1HdoVcjRlHNgUlzKHRyEfhFHgBZ3Yz5STicXz3KVxWWHU3lyr/pkuLKS7/ByW0c
+8eovQESLnd6Xm/nFO1369xLi6gEv9tg04lyf3noMsqH9R6d2iYuPjr9EXnbPubbytgPr119Q2jh
9ND4ZhWMDjLaxdn2KfBgFm96iV7UN/PBYLa8qZN1/NZmyeOlGaOJWa5avO7YaMamcqfiHIsscJb4
jUbhQVL96zMFZ1aF0rC8Tae15cmbrZPnUa0yhIkI1WmOIu1hzYwDRGse1AvUeqS68xIW9YhMi/5i
nm97Z47tiO2Fl5zcJHcX2ndz96Ncm8Ce7L7CkJHVbqimnNAcyrXqeYnBScgV2UmSye9YiaukKLY+
COZ91Ylyn8c2V2Cq6fIKPZR3kEBZi4jUAK3ep8Y4JmeIQu1wBx9iNsJJaz3tiGr+SDpFiAh8G0O7
HVFxuRTRVOK3sh7Z1IoIhQ3FZKF9urSyofDzsSXaH+bds7lcrwYJcm65LVm642VvcSFFbb9EOdkH
u6q82F7SmI1AnvsTERLALUh/xOB6jPuK/z4p9wUvR//DpU0QmmhtQyuW5eu6TtV1b8VV95Esfapw
0GD82LpzeivRRLdnHHdNEnVwn7QQ0laWRHrdDKzpvvlMA2Q6Iv5bztDGeULObfNY8XA8SNE3Zzxl
NDcaqj/SpJT2c6ZBfj3W6HLJrBffawXDaLMgvQpchyeQXsoYaajl3tNvT17oY7dRXLeXy3HiW15d
+BEDC8GSIGjH22Be6VrzgxBHd+s03n3b1unepQV7dGRtY90RdTRN6RjlOsfPuJ4BQNZOxzXxZrxr
7GCzVJY/SLHUUGEi9WVf35w8dekseZX3Dn4a+RkVpnqcK997zzB8mvRx+TMOMhonIpu6h8vuaodk
0b/SR8UfsXGfxOyyI3DMmSICuWp2N2iDf4WzgKaPaJb0DukyYsah6eRBIK++KVgAb4ohFjcSauHV
WrA8DMLPTiqexbVPY/5YY9o2e/eRUWdDEt3o7gegw0/CZEtWkFdZ1DWHxN2s722V63uBdCJYV/VJ
q6u/1xOptqSPXg69zj/UipdZb0qQ9kzvd0Jbuge16gyuiuxyTLKXh2Fw+Y99x+vRJ4pUnU9+MCy8
auNP8Vkp7RmPIlFlBoMCjBCU7Je3HNpO7NQ0iOu0HLKtN67DnmA2Kxyci0NOSeroy3smTTU/Cqxr
Z6Z4w3XBt0t1kKV3oqvTu9aehn0nm4ImO2rG3vvSzZbXVToAssKKz7a5imtlVWUSJP7lRzSXR/Lc
+Akv33nwfQ6lnNS2cTULqS2eCBqQM7qJLr3T40nsfv+kpshOSFZj2hr2fLEZfg1Omp8S3KtvSRmb
b4R66UhaRl74cm6bqeSE9Dm3VtW3UdP1ImKKyQv37a1SqU87kEEe0R47/EHxueg47MYd2EgrC6Ox
hfeImnV9QcCodm2rofao+GAWV1G3VJ8DujuAZ5xgPdNQuFh2yFm9gHb9L93nhkgar9w1Jt65Aafj
jWRv+ZbX+v2vi+nXAaz68qGtyXuTZ/QI+7m8T9Dv7RJfe1YxB/7r4BqNgMmiGvgIlxNkQ+nf2Qt/
N1BhCZ+8T3Rd7MhpHhYIaiIQEfG5jJl8oxpFiD9flnbLpRj0Zv9qiAnIRNY78xjOki3fh9tyshud
QSqJYWJnT3w9Ze6/WyS3Rr8Oky75lz0lL82ccJgTMTyFKOpwyJV/pdrk5dfByThXATx0555bjn2Q
zfEPutW/2kss0CfzJl4pjjx/623SgDRI1OXMSLZYl/OnhH1kjnpbd/XFXPVVkH+LQJXzokDub8SE
6CdJiMfQLQ4GZhrjN96h6fBhGOmn5uJsA4THM5HIpqi/XPyMtdQ254bnetK+LD9+HtBAhx7y1C0l
Gvs3OoPEQ2jPDIn4YII302v7Voz1VywSklGpAUMUSSXpnR3hM5e3h45zLCTX069PibuIv5rqeA9d
7MOWvCixwP5mKF1u8XlqJO7UjhxMANABkQYcil3KA7YDEZE2XLNK6DVxF+uxMC8f8NfL8cj5dVT9
PPpXY13eoCDtdpiprfDXCWmGVt8PTPMQ2fIJG1zyZzHzR+VN9REpc3mvMtMKazlrJ81W4lo4Uuy0
ua+PhWp4XgAUvvt1dapunX8g/+sZ0VnaaUh0/yqZeH+FwuwaG9QfX7Wd4mBoRzlGjJMXDU07z55f
d1TS88T5fURRLbxCOmRkHhOaycZfe2DLRCcCZeu66f1OPBoCJyVqcMFz+PJI63r+JSFzLiQdtn8t
Nc27G7N3tzfppjt1vM3GxHocIafs4yJpH6WuusDPDOOI0FULL/rnq9kc9Vffznm0EV9Jm112FKJJ
36AgIL5wxxLk3pGbogVSdWdh3vvOtLXLZjt0yf1UdOzqifiIx5l9AJXfdkkH2lSp8zPv6mAFsXRY
SAJ0K+vUevO9ksM36QgGSJMmEoPnh0ZqOduxJRamReIQr/zyol/3tur33AgnObbac0r+JH6B5Sgv
um3XYEXrvP6YNGV5O46yPbf84Pfq2xfTG5L0ekcK70dja1cjVW/OTsge23dYereCax9xYcEe+quM
MZulMPW0LZq4l9Gyv5kwIPkaPniC3VpN6b7hFf1EG3IqEu1QW+vGNNV5JpoBX2p9YM9p7XudkGJM
pm+MsC9AaKfhcdyROeFTKtZ3YyLvujb7ZOZuRloLMNCpZb9D5naILUIfF4ferPEyj81Db9drxOZl
xa6McO6uFsSrKusJNf7BGcWL7TZXvW35d/NEpypp6x5z80x/KYlHJIaW+upUuy+EZ24qFiy6Nq2N
MmN57tOcuzHxd73T9Zxe8xl2K/MsIi1Wbjsy/f4Pe2eyWzmSZulXKfSeAU5GI4GuXtx5kK5m17Ah
5JKc82Q0ju9Uu36DfLH+qIisioxGFSqXDTSQiwyEy0MSec3+4XznpHFr/8DW+qtL3MMQhKe+te/J
qd4ZTr4NvWCFMcwKEOySL3BFZpMY4Vl1syublOCHtHmayASiQbnEuJciq974mtAZRZSob7+hFtnG
rA5C/LnOlbDuBYkdm6C0xm2qQElG0kxVF//o6+kFbsrdTOSLUOtSIKsM/3PmYrgulugyEwSNrDPM
zBfryOSJDHlNo17qrZ801gba2DxAmRI/Flc/VFu/DE3ibbq5x1LVCHIcMIgdHZRwVx2nFHy5T4tc
pYwr4H9r5thr3ZPfKIDjH9ruzQr9jaj5acirlJuOLDAy2Pz8FORjdrTi1DqgbIRHMfPxKafgfuu7
MD0aeGqSCsa3B61X7Pnpc5JNNAm0A8mUee/3N8C5OfxIP28JuLH2xUznME5ztg8qBx6xNO6UQd5b
7hKH2qOlZCVJXrDRuI/EFn+y8clPVrgIbmJtAwd1xs4lJfdszx2JIqXRPvdW022Y4qtbAF5FhCqp
rvwHnP3gtdkvkjItTk2fuEyhcPCzapFdpNNnL4lO5AlVAA85iIOd59HetTUylKovg1PEiw0L2Xvy
2IJg7fDLd35EPuDKoKhbEzhXuo8ReLwzO3urvBJcUkyCiRXYzaktjWyHmomHISLrjYTjikotQ02p
8qaBQBmbD45VYAo4oGPexg54vJGab3h3E4br1UV0FlHN7ivWSbGLlMchCtoDSVrIeUWkUX2tu4T1
4TTJH+S9husxJrwlh6LeWG6Pqtmv+ezmAOWEZCEBWdnWxKooooBDtRmT8mNbbx7OySv8npjQzaNi
YBJWN63onDOqg2CVdoGJTgSTyg5p0tXY5QSkyrp4r/04s+hLAvNsoh+mLbdfUA+PnzYL+WNdkZ/r
66L2V8vSmgST0WW010leSCK5kEOUVKKmDqZkP1sTwwYXssJ2nP4IOREPW9drqAAxYjMPCTfwVYhV
1UvGCuUdR+7lOjIIRspyO7hyCTQ5DOR/XKO+zvfGXAcPTEXR3FZzUH/61lDuI4iw1++SdxiwxYBE
wBKNOXOdvbbao8CtUiNA8jeAuvfTSIzR72WrZSdnf/b9i5u13JVZhv/DrD1mpcha5+3yCNaVwZXJ
YJt1DwtQvVNgrdiV8mOvxrQbPyPL5mzOWvuSRTzoDaFDMmF2O8DBeJp8Vj/R6mUYl5LUzynSfi+0
G0r9TGoBXZ11GLdFJTU+irv8nsT06FJlPIN8dvBS6EvvDYirvUFgpJ+QUadXSROG15OXi3uziIsD
km1vkzQ9+53cFvMhUCYYU2mn1n6GKGNanZDEZ9roylTslPss4+6EolvNRS+fWiOprztRhbdqRjQd
zwzFozqJbqZOUmPXvHdm4amdiX6niwJ5b0O2XJcdu3RG3DrYxN7iJDFPRcDQKxF7FtfEfMvObwOA
yThjQCK6X7bTJ5tYWekhTObhPFJb03MX864VJDBCnxfbOUrLfVF54e082/S2xA1d4SyA0lfqRDDe
s1rrkxG2c+ViBHLLArhlpm8HtBegOJumEHzEnN40LgZr8Zs5ghvdVSz67gN+9c/T7y4azQTV5jvt
a5JbxdeS37MXXmWUDCCYY2WdO3AaIxa6L3IRHkIIzT0GIuJZCIONLWkFyWcuTRyAe5IibtzKmLfl
4ulBA6s/AYPs4zAWQHiB2bVvJMFEcjViSXHxVWKfO1hgtayek2MIC5XsylwQJmkhwdPK5RfUR0wg
QfGjqziqfHIMv+1F3DroroTsJRhnRLaOyvhULNZB8gVDNQK+cNXtt0Hipj9bO2SKMPVps5+qXl4K
v4eDRUZnr7BGy25lHNubNI0iKIXGWSa6piIbzq9LSkY98O6axvLaL9V97ZnZ2Wp8iqFOaXRPbePy
YcF+i1vayvL7EgzqOucTjG9vVRFJbLIWtcircPxLF3byNjNqJFk4tTyxqmMyT5l/HRpGuou+zVqY
Bf3IPXw6fwZ02nRSurPsq2ppVdYx96p/8dOGD1U55cbMjemwsnS/HWFqh0SctRtJ45yPicNojvLX
2FrNlDE+c0CxadDx3QqqwXqV324zda9ISTS83k3PjN8QJspRt5uZLPTiqsGb7BPHheEdxT+pkp2V
kmk3yAjfFjUIxAE8T94uLhMyiEJlPGF8VbC7MUM6LpK5GSkSG3UyiG6q14xT2Jr7sS2urIyfwiqG
+TZrioLM6A5vHsQ4s3firmak3IdCPYPrs+hMTexo1pkF2onQU74aUz3jspuoLcFA7KhqzTqTVgnD
HdLnyiNH7SNK3ruprhoM1ysYWWIrP8E+TlR3Dy7M+R3IIrN2Nzr0EwbELRwpk6aeATtwrndfmBb5
XOUw/XSb7pZIPvMqjwymhbg/tOHsL4c6kWa0MH225QV1N5h4RHdTVgj8Lux+b5Itte21L65ofLw7
nEfm/ZQQ71p3cXOn8tg9E6rmvUkvWvzeOYyaYCksfeyfZ7K/fo6JoXcj9cWJgHBUIaxYw3zTD+I9
GUV/LobO/UA3oKgwCBt/UL49lggCmXAdvKQYx2MwOl1MHrmH90EZp8G4H+qc7HaqgHCDAUX5XHdd
r7ekoo9nzsxoHzvoeRi3e/6wEX1l8uPN7iQ3sNakpIMK3TQ4aFXbJiHjCUiWGC1L+fJDkGd3E4az
9dajtD1MTRQhrLQs6ttQ2j8cgbMo6/yscjZytIOfdQW1IGw2JsrNnkJQ1jcSElCuTAg6pX/PIdfz
qSylPkx9MH3gUEv+dAZLQ7dIu0bLXxKSyyzdQ5vEzH5Tg06tpFT9MeeIeJyTMEz39Rg0NzXvLvNr
Ym/DegL0CFIhbxjw0h6Mfc0wz+cHxDCKOTTkpnPKF58dpw9I38utnnMmGqJ3I0HkOg41K4OCwZdb
uteLGmKT5wZPuuDGQDpAmyRkhahFWUywGGRuwgR6pUDf/Max2N1GTt9cTabXv7SZ/ZlxjK2xBoFm
JBaO4EkebmQRW+n6qHECTEy6URD2DfP8aM+phxGPPiUVxR8Q4pgdDMehphFZcjsGbvgBCdVTbLcO
kiMljsxyqGtMMOrM1zeAL+VDiyUIMmWxdwTrSXTl1+ihuWcxCmMDM6ooemi8/llHN7Y794zLjCNC
p4LtI+vGu94s+0tbDsU9I1D/ID01nbCirS4coM42TLCnVVWS7zh/nOMQRdmvYR4Xpw3DvW5JVDvn
doMVBk3hbQh7s9jhtPeYt2xJqMPlimngXTkkdDNBWBxk0+T8vrvwYqNFQ+Bb9GKT1A2h9mKIrtFX
wBG13MmGXexwWo2uGMojg7EqhCF5KbbQ8qSylL7zqAckN3i0kgEazK+4c3vrgUf8MpWVu298cTba
7DaDml8HtVNg8BIyWo1HA8FaO22iMGberXR1sELb28wTbghjpn/FRcZ5X0fviCYTXnWDz4cpMGFa
LBwwKHltLOPeaaz6jiip7D6yo3DnFjkdNQHH0TBxcNWG/lFbCgl1kyiG36G45DqXrwK6/2a0Xfkr
mp3pEudZOqysWNPRVOhpnTzYU7tdqNbSO1uO3WHJ9LtlsKbfRcdrnpu6fRfER57CqWRBjBRsH3VR
wzSaCF3froCyZlTjCo58p6IeW+HS7fcMYMcVSYDGMVQaJEPVs7gyZDYcGsKkcewJomhfjDG8LwB8
jtOKaV0bykjWqqiKc+qP1pb+CT1ePfhbQuA2WA7ss65+TN1sH2U+n7jBdpNLzQbqlLeOug1G/FiK
OGgfddZMJ+otj+6e2dLvE56Zy+pMhcU0yLfIOs7MlpFvmVMJYqjDujCKjhND8a2LLGHbTgbXO1eR
e6PyKtkyq2x2Om/Ye8TGtBmGBetfhOe1KcSNh37wCgV1e6q1E9+wSc+2uoqn69jI2yOLsPngyorI
aCeO1pPhWk9eapXnOQ+jo8YH7ZpxClvvqNLJhThQfbSLcuRaYpNR0p2vLWXkN6kqxS7KyuCiCi84
g14kV01tUMGYY3Hs8trfeZksmKpMU3SMw5ovHuxDR6DxdQMNBtvNwNHkhCPB8YogWxPDH4vEzAd2
KjV5w46PgxaWPi3gds5C0lG64SoW8/BY66q7Snwv5Q3ynA22Y4KOhPMtoulF68kKlWhPrLeI1SKI
NzJs62pgErCKqW5v85xE2Cjs6/xkMttE8TUHV1IUkM6h7WIcESVcdkXX1cfYw/NBt/gDGYQcHkXd
hD99mWAWVozpu1KFPvaOy7S46ayaJV0RodrD2ZURZGzm97iTRJ8ubecJDxZ9yqax7q8Y/oU3DhO0
swtQt/en0nrufO2wGmc+UJJ5g26A0V2bMg1UDSNQP6xuv+eKqWJmWxbMfVFmspJwsHj4cmj6nlun
8vdYHqmXyF9eGsmAlsUSyL5wk/P3wqNsFHM+JIpHabBeqOhtmMgl9F1tVdOLKACgT85Gss7ga+Jn
1yhY+g54pNybKEp3FUHxhyzKNPVexwKEiRTVzvdQ11nG+xjaMeT1lPlhyxnwaUBooKd3nE8GjMA4
eFDk0yV7sOPYy9hHf1p2aDDjhNO6xmNLm7gLBvXDlA9Ji6pOmPNtG4zLMq/GXmRiRhM0kqCRprod
xwIjMGe4y9JR7VQQJjuPigpIQTcnNF/yJopNf2N1lDIW0lcAmxadZSv9/WzI00Tc0BqlKKLKuqCi
CavNnBkj0XUsMfBGyUx7YxL8+W5qv91lpT9fDHPEvaQLmvOYuPY6xl9uXSHZ5qaaMNIfpLh1gtMs
qOcAKOKHSfjjR0QW94r8GabARbyh0yx5TamwW9Pmaso4uN+rshwfs2JuHqihgiuWc/m9a9IgfwuF
y4ZfrKn76BMLKwptP7Wbh1Ywoe1HWJiV4fO2mB6zdkawyRlrK/rghODlg8tF2cF5xm74O2L9/wGD
PwEGoLkmWON/Dhjcvqv3v/3bz/c/8wV/fNHfMUn3N0hAmiKHLERPQPv+O18Aji/h9D2fKaYpYSFB
D/7OF5AkCRAMROCAyxMRsZjit1QiC47v/+aYNmQh8giAfHJpgn+GL3D8/5si5ByQvm/DtwNgigWm
/5MbLYMXmZTLNIxIOcV1nadvyuqix4UNkwxdtaGPFhf2j6o2vc8oj6bHwk5pspwavWNUj9UvCVVw
mmsdtzszldaEW41FF0xHg51FSNXsruhmJKtgMifydT/aPt6FXXbrGyMi1LgKAM4IS0M6WlaADkNX
Qt+ZMGbxVocMCjbmFDavxMZEr8isFuGRRPny3SAjb3JC4CCyQ5COh06WXzhXONTKLuFj0Cgki5s6
pZ1ijdtyuptpjCdoD5fwlNWCMSPmB02AsG4WTz6JCi0CGlOYFMidee/MIN4kvdblFRKzOb5Mlhdk
lPiJ/WZivNEcHJdkVyBqI7+d8mRQuzYMS28726NNWUHs+9qgACYIoFRdiTn0It4LLR87dHe0PwK/
CACw6ubBCCkrN2ExZx2Z8VZ70a6v3AeHcKJ53xRmhgpl8NELIaZ2dpGRZd7RszokemY1vBZ2A9I1
l4137egqeccQgJbbMcOpZ1XEkznVtIhP1ZBNyabBeoFmCzx22AR91oV7RxYMvbvWH7EOdRYYMg3q
4kJJL+mBI5oyVN/mlnRPOnxWWu5rIrrY4NcdFFxU38AlQWPAl943iBl+Q5lDlKDGMRZWs/rGNuU3
wjmgVrnrnIIeIJ9Hu1nTfnT+j/ob/gwWDpR9AEhoqgwrRvdtei94YevuiKC1eAVeAyUlPC1gDGwR
1twvrKn3jZ32Bh331vnGUYN+iuVefmOqwKUpr10eZsM6/EZZWaUiaE8WwnX6hl37b/AVDznjSS40
LJaEgLGTSgz/JmoXYFZ9w7OtLlq5NvViUjVlhrunmq7P5UQrCxexALjYe41QCQvTRSIXeJcVTZ5x
Zk+LFrL+RsD0Nw7WWE6FS7jy8brTCzEmv+ExeFH5E9H1HO9dZ5bOxqspUhh35GBnZr4gaNVCo1kL
lzYuhBpZcii9vG9wrW9bDaIDzSb9cvpVfyNu4IeF3AZhCPpG4gsYHIJxkDjB9PeJhwQoN9ZDoldz
M/XeFrvgvN5FOolYeBgoyvCVzZ7yeeEoZpnlD9gS9Q1ypzD4whHWZnC/8HqhDjX/vEB8QdIB9Hmo
RFJgHcu+JTo+1rt6of+cIhlfSjwcGSkyV6lQjinHOWIIhHQayZ4vtkjgwQlFB2PJ6yMjvWkW4pA2
Bvhw+AYRNSaCNm1I6bPBSqR1i+kD1GIZjx9OoUK9iTyoxgYfieeiSn6YI96TNLoL/mhgB3VvtzCR
Fr6c5AYwLBV7bDMY3uDJSL0F2w5OqQK89zbzN2ZpfyOXyTd+qZxxuhuDXv5qHRM5F3Sr/FmyP6zW
M7PbhHH6AnLmDgOWNcWHP4Pm6AjxVrcMgXRv6vM0FKrhXWRxRl6zYIsMq5RfB/hcNUilhuTNiOZs
WhdpWZ2aFP+RDZnk2O5NaeVWG6vHgxnfRoS7IwaMt8pxSQtyRN4/RS7C2JUeSKBeZWMI2dXgkpod
cORjd5Hkr/kcsNyaBtRwHDmY6+UVj3DNmp1GwhYsWkpmB3iaYJ0HRFHxiWBGhD0rg0bWJ1PcpPmZ
NHXrjr7X+eV2zeLZZ8z0oElfeHdREnaMws0RqArpR/ZlY9n3aXgRs9wqdzQvtGWzihdj6v2QU5TI
HQvFOt5MAKKM/vrUcffcpjNBhQ5jys2IofmxHc0RCWBf1PT1E4qQkyGb8OzkJGav3ZSp4wonQUY7
lFI15Hbc22o9Zk7zMrrNORyRI1x3kQxMBOoGIfSD02QJnAQyF0o1WSJ15LB8HAhSb45uZHUXFeMA
zStqOc894+Vi5RC4UZ5iqL9diuml2OVRJp4qWmB1jMwOF8zACceD0URYMeFLZ381+HJduFc8HoIx
Rd0hburhIEzsOfcohzB9xNsZBMXJRfEALy2/1GSEqMPaIXwKwIVjyjjMW3b86ju1ZcAStTuBUvLA
6+OrXV+bJLqnk4lXisId8TLFqWNv+zzFuDngsd4Ns8ZTcKRSxv2vGR41R+gPe3YaPjuppV+VFyUn
ugtMErzRj1HYT331FPRsEFfKCgt8ZjJFj6Frz7qmz4tj5A5d8i7dOXyqcchm+K+65MMhZA2r2jR2
H0JW/rRsbd+/29FkfDZyIJzju8z6p6rPm/qrfNDq60tfv9f/c/nSj6rmQI5i/W1P9B//dNN/Kd2p
r3/hD7b/AuH++a6Tqvzr1/zDX9H+r+9/DZW2edfv//APW5hSPd11PIz7r7bLf//P/fEn/7v/8o8y
83Gqv/71f7x/Fkm5gdb8q2cHYbgB+Qr/RQWavHd/+7c/159/fMnf+VbzN0eakIiIi1zMgT0sjP7g
W93vItOSgUXAk2lZ8k/1pw366uJfgXEGOz3SF/6j/LTM3/jLTBHQHZF+gWvbP1N+kjLyj3SrG1hA
phTAlsSvn/TQv5hYtLUy4H6Q90Y5yPZxdhHUzW0RV5va1uYhImuPsfgo3KciSEZUiG49kWCWSeat
xhR6T9pxW2uVYjZKTpDfGPnOoKS5kZ4QWPkaQ/QJi8oNV4RRaQEMkSi7o4Sxv4yS7cMhGZnJrh3s
ZYz15Ij2zvJDDzvvMsOtzuG+tvbJHJq0nCqdf5Us7L8AW+bHRYCAgwjGPZgf+SK+r22TtDjDx2SB
WgHm9IC7KP4+durr5tDRCqKCtH1sJydpAomliVwbdeVeClvDwGchetSVNIXRrqopdT/YJgSfWsq6
w7qwwvZ4bo3gsS5bPT+aCMJRNeeR7R+6GQdocs2i8oW3zJ1WKCm9/BT3kgi0Ge2b2BaW601n286R
aka6xqTYjLMZygiz3I0WsfdlzEP81nu+Drej5eNDO+BNkK2BmBK9Ucmsnie/7sKtY6gmw8y4wJ4y
rrR4cmRY3jpT1eWHQXizC6NVUz62gz3eaz0oa1N2kskWwmDfXlNFZl8p5c+DGECv177RcumEpiEX
2D5DrFgh+X5WQ88oovVTLtDQjTHgK3lPc7ZTWOKu6rEXN2xFIYSTIdSfeZGiugZ+zXC/R3/wGCeu
STVrRQlFBDeXBZFlsK4uGuHcpB57+nVShzavi5cxYFZjE31WGUzCShfJFG6Ssodsru1ZvbRO09dX
XgJTdmBPCsXkGi4tN2UYHF8Orn3vEbTgrJzGw7dCgMVcFOv46EI/krZ7P/Q7LCxqGR2QoPt3tlvn
H2YwOJ+DyTxzPVpx+Bb0SDE2Rpl076nhQ6Kptsq7tWGFyYNgGYddYsqGkYFBY99ZVcsW0Vfe14ju
vNz57NHgKqIGCtTzauRClnNX93N20xA6i5pljp/QG1BHYleefczEQbHJRJREEd2+jEMKQ8GQS1o7
XG+tp2lakrfCLBkeBmbNqDbmOr/CsIyRVpVB2bWDwN69xcLHPvAeQFv5gyInBXYdMju2eUSrLgnY
+BQmfqMrsxBq3MYEolEUTHal9wXmddR15QiiUeKAfsMMu+muy0JMNrvHNkY2MdkDftoxBAtD9X48
9MlUymufkUclnOykO8/inerx+IIkjfG6r7LFs0RG7bvXx/pmIW27LUPw4q6yFpFt5JvOjevqcThE
iWbXlCX2kB16hxd1Y6h5gXfyelEVRiMqw9lvqmGXFyE8VlOWwyZCd9zusxFv4JXhjLCmrvZfB2az
m7wdhlcWqWq+xqXd7NfdrLK7EcS4OjR8UDgfClEjozJMBp1pqhD6FK75Y0kJBX7CD6c/q0j1dGqV
67x7huWiU/aD4RhgehZwlVbOoz8wWlxXDNtuJ/Z/tKBdziMxAcBotz0mREtT6lwJu8MdfxxpaVde
EzTPtmEhmucQ7dJdCR9rrfFeYfid4nfmwLUPzS9U2kDMNXVLtorHyHW3Qrbhs/BjJqpACJxzKT4i
LYtg2XZbqrUZZqSxhHmX+YOXHWt27NXBRR9zTc/fzGzzJ/545fndDyObjHY76Sy6dql2xLZSZXHt
JnmebstyLp50ncwtr3xmjnuPASsCBIEn2NTToBs4Edhbx87nlzTvnbdc5cWycwrzj5i6ZNhK3cfN
StXxdBVjh+bs3LaxXivLg2S0g6z94bqd5KNLC2yuY9thBpFWo/065VF4btlNPKKQTx/SJSqSqA2M
+1eoIbp2XRpdcSZqIu7WM8FEOAyVcryL2MaY6y41ums8ZOr6JTHy+LryBxw9UhMJ2b510wa6Axnv
m5dyIWznQDE9xq28m1Zu7LQHDQwp4bmH8UH0fGhwSMIGH78SiaLRRjF4j0UWYRO4N7fqoRtMdy9s
HjNkosdHg+0SToBEGTaflWR8KBj3YcxQxdVt5AN5bRNmSnpjYw2Vb9rJGXBIBfy5ZkUR0kJ3M/66
fOf6Rfeo0PhcSPttQn8gV7i5W4+mH+a30mNfvEFxHUEtzkremNZ4MsoZhRFhHLRQS/uCuKwvaEbB
w/BdpxWyXjqv8J8Hq2CEgUEooUYsB2EHByZMtxGKErVlLtSd+qKT3aqKl2Ob0KjGBaCYaI7RgI3+
Fp90RE39HIKv9oLjA/q4Eq+8/0F+SoewvcMrejJBtQAONj3upRxS44SiJEXJuBaNXaq91bRpTFhz
iy3d3Ep6LR1bA6o0Mgg2pKUUCr+hkQ8Q+1DxFeSitbe1N7r5Gjc+ADZwOwTZ7I5fMxaOGXwGTvWr
qkGmubO7vGJiHw/AU4D73apxpfvsoGeCH/QET2qa4oXp8sMGmR1GY/gyhdi6o1un9Za07BYS2kFm
2D4NSO+kGiyLPVyBik5ZhqMRLPeozkiEmB8rcr3tdUA369OeG/UPHqNHEAXg1HNKc+6DJGbolcfM
9L5c2WIWK2N4n7R64+hvuBrcpPtQeH5LDpW8fUSLQhh5Yzs1k5c5GEyUm2zhNllnN2c2uSnr1V64
0Q52OFHrJAiDR4vJ9gjAKjCIxlDfNNdR1M6XoHYrTQqp0bxxhxMK4wrLv0vAEpttNi+FUBcVgbFB
lJFwh7PGeZ4Hl7MG+52pw6qsFxrBluJum+IRNXGFUS/xNFUG/OuMufFaTaaL2muJHqJvB0AFkota
mpu2Zv0W5Bjrb3pRYGzij+iCV6LFQANvx7iDdvT4Xa6Z5aW3ZhCpXeRxwm/6kQ3Ijs9LO2z5ztNm
lYqeQ6avodnJ4gmtjzYkp4YrNoOCpL2lLnCk1s9xbLQvfcwaJi89jVJHdOZjy3pzXHu0cfWyxyZl
1s6nkh8nIw4OQa8+E67YlajkIvNo+J2+KyxkKJsxbc37KCYEmw0vmRcbZTUZKwK35Yi0bTnc1Yih
Mc3yTeWfPVUHet36FXMZyjPqKd/Oqp9iRre4mnBfhiksPVx/Y7uaNb2g1d+xpBuMdU1dG21kiOQE
Y2f8j6fGQGKbm2yeSWrX1s6mOQ7Wlj3EqNy82YZZqiw2aUlfC5zgElA40yu9C97K5RXBxQNpRGOd
nrA8Xbw7Ajbfq8K28rfZ4LClsprozZnEwcMNOXPGuuBEWuEJZv6cDGlBnE0qekDshGtog37+vp0Q
omyZpeU4zadWhj2Tm8+LXVlq7XBaB50Lej+SZ7+dhiszz3FUaZvK3qPMdGDHAHGQctpiyta68mek
bc7yuiTenH04HCnvRd/37t6xzM7A13rZ3RqM2nhNwiL7LIuUpTYfWA8jmbZrrkFAC3lQMxaaK9Wj
/g5DKlE0rmUttwQrc47HM7rlNSpMdz92CcaysRASfMtqNUxwZ1IcpzFJzlnUpMQa4Dt0NFQ/qO1s
jhxRsd34X32iO3OHbkQUaz3a5qspM1S7VRb55LX4On6LfYzMdoJyN99ZRlhozAl0be8hmEASvKTD
CkyiXmF0Dh79M25z61fr2dT4HvAchnxUmCFuWHDEzBdDZMx+SKQOPqF9Y2PmEdRf2LwnA/YFXs3n
nykH9gN+1zE4rsvup8x8GqHOMLN2jda5+CmY06HpJSvrqSrTaOZvGqSLeavi/YvdwuE7YfbVnCxe
PQUEDT1KVkpTnnxqPqTZOdiUl7OnXg6RkTcBHQ4fLiNW/LUcOWpvR1p6q6ryF00/YVPciEnjOXed
V008zF4bOxF25d5tbRM9cqLT3T8/WbhOPlTVVr/0XycE/zBj+H93qhA4JJjK/9I6674qP//2v8vk
H1Zb//51fwwXRPCbhOzDZdMWgc3/ZXX0x3DB835jRsBcwRS/u1D/yTxL/oYjp40zpwyIPjexr/zT
dMHBj4syDL9xy5V0u9Y/M11ghvGX7RY2VwwrGHBiYM3/nL8GH/q6x9/esbNFYfCJHKE6zpFW2yFx
EEr1crQ4Lhi1Hry5PrsEHGyLnoA5NO8dzgiB9ZqJor/CsRLjpFyOmI24MTloZSxOpmrzvRybT6qG
zucqPyKmL/YZgTn5gP1LXCOZn8LuXczRhXwiIjd+1CCYzM5vPY9IhQJU1qB2oXZthgkibWCgHDyb
swVDGtrP7ZReiTr+GOWh82FnZ+fWrepDp8Wdk3dbFfsLRYuP/8Ua7JfET7aiyfZN5p9mv/7QExBp
2F0zclzRI2zh7G7tccThopMpty5y6NmdkYWlkFj5Rrk/OS72KYWIKNEKI9Rm6Nfu07ncaguPujQ8
Jjati7a94J37sOf6NszVkmjVNR92NP9IWwVEH9svhi2sY6PnZ+jEfJeoBpC/3/dVRfhT1KPLc9VR
TmW276Npa7byCmz2xD7pYWyc24K0u6nI7QdpsFfz5MQVm66dKF15Ed/CcJ1RnnlxvzWci3C7HQfo
UdnFpqtrPDyepoILYEp644q6e9O41V4jH5LWuszKO6cPX7F6gTVLlq0KfXDXPxWDbNdpiJbNIgoD
Q2d2gdPc3xnNMR8uNcQL12IDFNoF0bEseQUy5H7ilTwYlKGzdRewH3qj+lrSNCY6anE1SVQCTL5S
buh4+ECa9x6j71o1kXi3lrzUUSCrLSzL2zejLVZaCxw4dD7s6rgp76cqufeinfCOKcljFIzVCZFW
ASyAFvsKCddwH/SO89gkIZsVwoeeI1IhD8GEamUyJnx0IrIb2OquqbgsDI7G8LW2wnNIqNax95zk
LFr3qTaHF6fxhwuZF8nRj2V2Mkud4iTQPHLhIT7nTxMI0G682cxQ6mXb2HBulBgPiqWLaKcrexiR
c4YtTH4V5pdMx/nKStNjlvTt1q2tt1mXv2qjLE+6ZMxtT9kTRnSXCtEgFYzq5W4y5uoRWec6NMcf
g6yZ7FnIAivop3U2FMecSmBnG7V7HU1ylaJORP5zDSq/5l7CIUcAAQ3R3u8HuYYqQB9Z7zvtLpqP
QztcGWW86ZwBEQreOLdeln1VQ/5c+TQvLnGNG+Hry0ReS13jCGDgpeR8UHhDC4SrxGyvnUVYpgY8
0LzBPVDwPIjJf8clW91DPjFK+5qH/lUhzl85cXKs22aPBSzqWaLsAUcwUn/HNPyHiSHY5+xF3iV2
qagJVYKoQ13j8AOwsyHBIu0Q8h+q6jHosWAS46egqQntBSF9QZzygMqTbworBBvrqyB85gtWU0pY
LZKRRd2IWTzXr1qnyt1lvAD4mTzKHncTyj+SQw5hHVyTSYkABlMPZJNbu4fNIoiK12VVCg/TBff/
sHcmyZEjaZa+SkvtEQIoBgUWtWiDzUbj7Jw2EGc4HfOkGBTAbfosfbH+4J5ZFZkilSLVy5aOVUS4
02g0AgrV97/3vc/Fz5+0m1LGwfYiUsGbB3qE92G6D63p68NSU68tyPRuur6lMmKQ19lgAJvRyhW6
SdnsvaGj+6nxMFAuHkZZP/TYh0fRRx4P+wQ8VlxYpyj6k3oejIz4r1uL3sOo2Ll9s3cmQqgdm016
6ZCjjjaOGeapOenF+EQ82NJvmdr342jtzaK56TKuqDYj+zszh9bnqNA3fTqaq6YIaoG5o/tZGtUt
O8DDoIpDyqSu7CKwCcPeSAaAbua5s1pySszQYP0ReihGAltF/JDCgwxz2Comc8lyEMtTPbbXavrO
4PwGLtGtFdRvUyEeknI5yxReX5ZfKg1MJ8qg3aYT9R3SBbQs0kc21yss1OiOpUfyinkYZgFd7PPS
e05quLWVxZFOEkdsqqcyC85Q0betC88XAtTYQwLrqji0xbDLC3nMZPIS4e0MMXR/paDre5V4J9Td
byL2n8Aah3lAdChoIdJU6FuEGWovdAe2pRLQxaaUOjsSG37oS+9eleah7XoGwHl2RxrghnPhQTmv
9NCEltF9jyd9aN3ldljEc1xTpsMnvXHc6Vkaa8fW2D2a7Ag3pOI/h45BaRz8nLroUubLbeFkj24E
Tgt/JuG0XlqHzDhb6zsA2rbLBqoFEiUOWUFqgy/+MvvkVlskHIXsTOZ2ayAMa7ZJ0QFY4K1VNc8j
mYABQlBbYnMeiU/ZXHDj5zK3/RXD4D1y9LyV3BB7UTmvEIHIz8EQsyzSmQ5x49E8k1t4cPv0YA+v
VITrcGBnf7KVup/n4aR0Rj6QD336CnSGiw8Ug5lmNz1Rb6XXQN3wqxXvTKqqhfmhL3Te39E4ELLl
zkLwwvZlQNgkPfUAqolywwVYiDC/qg5Ih9u618po3KM1u88JoueQu3cBjJ2NJLVneTV4bFOfU6gT
fYBTvk7KsBHNpW+jlyVL9tYsTzXYoXZhXFq5CHryOAcOxToQ0i64LXMimel04+OU2Hm982ZHjfvg
qx7dP2hpXyq5T5c97Qm7Io2eI5U8ghhpb8WM2hnT41lD/jfN6VPE3Qsx5vs5yj9yrmZ7/AoCzH5s
mMAUzlfRrQfntLk1ddyTk43QaRVayywd68gPVqKmgv7rQIx2Qr8XclG3UHLkASXq7GPJ9JGeT3FR
BC8DkCiOo8+27wAdwB5/LYUhw7GmfxHztAlkqceRhN14Yhu6qWxxpeVpr3uGHILiqoNTtfJiJTGZ
NDB5qhle22DF2STr8ScpZfCY1dG1jU133zZ8iFPu+3sud3NHficNa+dP7hacOEVxi1/8lvM+UVbJ
r7HErW77fndCQAte4fN+7zhWVdqAd2CgaRf2UzmQvPWC+jvVxv7VNZIVdVgeJtvcKtMeQ2xLzCdY
0zzU1Q0cr9Xt4pc3WvpGKGvr5xA727Iwq52vVMcoy74YS/6EVwg6cTThZ2+f+9JpjlMh503vD6NA
Nw5YCZ7Rvq8Kc5YiP9+PAzadOLtAs7TJlFvEtnP4Br9BEZaxxh/ZwYdqtuxzOn2L5QwHwom+p8aQ
belWpLXUxQgKuw+Cgoup1PHWSH5K9DRjgLP/lWL/RZMwa9LavwPeK8ogbyfmLTj8d2ZGnD034BLg
7+LfVn+qpsfwOR9c3E6cfPe5mHCYkgG58WmAgwTAl/36yzXp1XPsTQTSZwAPMLiAbjSkY4gMNPb7
b7zAmnD/NRhaoRm2B2clStn8Omy5+BRB4cQYKH59W3/gPfoRnwJNpIAJVm/u3EX2dqApUzM/AIOw
vhqx3Om5ZRY4rM5QeR3TFGbYUD4EuRlCgjzDvQndWDa3wwwRaLpXQGPzBGmcWqhsa2T2xbYRKCft
eGebOfcWSZHVLW0CXlDdk0X9lsjgxVj9XuWQQSVVpjow00e1WuoPU9SYibHx4q4O6zk+aL9+NFv7
hDZkbk2V6r1vFSABB/VkePmdbzRnZrWHxlkf9QQhtsh3t02Q0cCF0d519yQbeXIHpB5182g47ojm
aOkLJTvpPsfXcyQTGCN+i6fFsR8KSrZ20pieMjO7lUlz55fxQ9HlN9RJTVvQv9HFnTpiVxh3twSP
vD/NUg5HzmwfMpokKQzgc8wt8d+uVZvSi77o5cCXl02Q1YJ558bl8GQKGIIFG81DSYz5ZFoZI5Kl
KJ9oyvrkSip5IOU1xvXU3Q70RrKjivtrLaxh21gzam9Dcj5w96BS221LuznrbszOgNJ1InYZV4sP
XXVM0oNYCe1xdCYmlG5HfIe7qXX7rZuO4gbEj7utBwGVp6cf0/+QmfOZ0ZATAu0HVD/UP/wlKX+o
mCptk5TCbQD94AFdebn120GHZQDthoDhMU/alTyVAF4t55AbEHOKG9H/pp3glnz9xK4B9ZbVUd81
XpWFmtxMWMV0d28sUQbbuozlDSGVaxFbzjFN5uzeGi25NyKr2P++Zdu5eMxLnjkI8bBXen/FrsDi
zUllX35hf9UwcHvYzXq/K65lYt0THsKAfTddZrtYeB2+8YV718mc6A57G25I+H58Ob2U17hzsWkv
syAOj+0TvKgLkwReWPFYl7P++rVC/Eridq3RnfJF893Ac1Vb+pB4M0MJ5gEMBNXPDOSfHUZKeehQ
EInyDzxFa1u8g9/gJl+M5dgBzHjK9ex8y9tgTThQ4AATynG+AXduzhNTlWO18lnoom3C0eYVbbds
zyQVkkegufAgFtyRnZQRHme22ip0NKQV2uMwp3eaGzpu2+SV65SkrVmyhfm9lOUa3dbpQEDGuU11
ormskA0bHMyv5SqWA5/K77eIkgHFox7UW15jjM8CFf8gcMN7wtYH0XJlcZjFksPXEjb+6642nW+D
7I1mW6aD/50oX3UGnul8M1PWWTAWgsZGXZYUNP5eDJtu+tQtDI06JumYi4Qx9i+okGmS24vjGKwO
Va7gD9IxOvxaGB3FCuUXI6+XayK5oArWrwJqS0CzBbPKap3hWKvlaFzw4/NzurwMuWO+osH3xo/L
UUpxyfO7qZ6qMq3Zjtfm+0hPKTk5y4AGMLk2bjvqRzkRZBHT5JK/r9sSngNPMYGuulY/7BUOwK2U
AihD1+Uk8wQj09AZbHHDXtg5SPi/JJ9qGNKrorgXlDLee4nFwzgpE2M3MWNPwozP6WJDTUXnHYzl
Coh7eXIJ6qNQIFNuFyPqjo2TJNZG0mUV4oU1PxbEzvM82gbo6Xk4m4sNa8GWI13MUS4fIGNQ20Tu
pHhzifMQwOFkxRDPrPWbB9fpRSYI8WpODdb1Wq+H+kXKk7KN9G4AMuXtmtbu3zskUDAPgFLOQuK6
5JbOqiM2BDk8BprC4UOpDe+5ZQq6jflrW6tn/ke9th18SXvWn1Y/B+dhpUkwEn1H0Fju03EkAdJx
JghJHk6v7bIivrJMPupEmBmgpyQ5qDqLT1EsHBfyq2lf+tLyr02ZyXTXZFi2d749RBvs29EJobsx
jli5s5vBEYp6yFYAjugdex1BKfdAWKUAlhhYoXCT4Wp1jX+Okzg6dCJp+q3TDJTs1gU8Bhx4PH/M
nIKvYoC7nMXTNytrgs8li9l/M90LziRc8Ez0+QCwhPNPIvZMw7uzpRW13lExPUWDaF5GHJy0F4oJ
+QtPZ5jFWVxtxVDCi1UwqynWMM4DTm5AAewYbxd3Wc41ytN5mUz/nmtuvs4TkRGLMz+zbqZXCydf
syoBipoIH2lqvgywSDTtZAPZVhwTK7pbRQ/OgO0gHkdUK2ACzH4InwEonoP2h0cLx1WOlLfLwW46
dtJWdrWqFRGNF7bCSYLmke3q2Ta+8Z8xPuzCfkMFV5SDMK78AQkCqAE4Jf81LwLvmcvTu9KTwigM
294BW618KCG4nOFPzE8DLblrFfDYnGydNK8RYcQXIxmDH6s4iTbY2h52+MJK0n3NuCF0lyj5JOXB
cQMfCdBQRxXNc2OnpTrjbDGug5+W3ia1uu4zmqr8Zi4sNsYICjtj6OrP0eY3ucw6vRakBf01H9ja
n6MTcXpgNQvtRYmTZTtyv0xesPeJpl8ZBcsvaa0F0AFH52CmVG2p9IgiOeRT6Jh+8BjRPnAkFh/c
aawOrJlOdrYdnyOkb0KMLDU5KtGUJVBTLc371otBRsPTUEeOBt3G0V5xiyy4wcwaEp1Jb9wi/j7y
WjdcXN4xyKMeQb8PDjKrKYxdcjgwzET6MPboLLVTm40QVdqh5VvppYZTRP6HlvSIxGS4ND5Ae4st
uGn1eHeFKI+zqf1T2b66WTC88dGrsFJ1cS09yZB6wSS/ZZU3doNfyHOKBnVkgvYpDPY6hMf6zWSN
5UmXAn8jvbAPmoxzuyGCBrPRFs1NlDCKUbrWu0TCDC7cCvdlGU1PC63UnMfXTLH0y2+d5Yit1ZrD
I0GyFrcH6zUHVQapdRChEMQYJaLeH29wYAEyrONPDabu3kwFTSYuLAA87HZxmyYOB4FOAEuPIoxT
+UB+M1QqNrcJCyhwQ1SEXswRTygBxz/XxrFYjGpnUj90bIXu7lwNe3GR1fKjVUocrSDWZ9d1xN73
BmPbicC4ptSz/8RJT1yJPF/NDdLo11YvGEARpb0GlOcaJmBuZ8/xdx/b+ZWUm3xUkRncuZEPhxW2
pjpRRD5ezCTtjywIPVzQCK7IuARpcxAeS/Wl5nT6UUB3KkMpMACMuiqbAzG65DPL15gSnvxhWyUj
z2G7QeChmRUCAcaQ8WvpFwDNdiDBmkdE9Ncr0ZnOrCX2kbm98xgI5tuV5c/BRtoN6KUiDp4N3yTm
roKpvqn80mc61gf+CaoDUNGKyOxL10vni2PiCpsdp+HQCJLekxn450JgsgmDbHSmvfItgVImGvNr
CBKOxqzOc73vWW3tjYSI8MFoNv9eSz2yyJV8QGrmeUbCHaamVdfTdWxdcV7S2vg21owUBmw3jw4+
CVSl0kPfyacsuh37qL3VCZE4gffnYOZAPHapiDoI9NjPia4AEvyYk1G/x3TWPzHAR6rnPnwKLIxX
G5wP9kvigivi9Ux3OyuAPLRLB/jdYvjn+zJohxtDpP5uwsqlQmCaiYtuk9r3XTH0PhvOuf6IchdT
PcaEGH9vnD3Af8JinVk+7JvZEMWN9hf/GQRv9AEAgZQQGVVosrK5C+DaHKu2eOoK17pUSYxbOdD4
hlyfzFmDxxgPXdHeRHgVMN8FU0xJrtu3zxq9bZti0aYTmfHmPhlo5sUFCCBTFSa5+pxZ691k6+kh
MwjGbiidiJ/qJMqf4QCMPybW5RJZccKO3swgPnl4GKhvS5NXbywkvJGFpwkuDiyj+zp2YYHnVl2O
+Mry6ZNiTHCgkuh0OAGoOgHoPnO3NsnOCGrq1BNPTGrbDo35g424OjoteKimSB1Iba5IMSbGU/8Q
dxHFUZrM9Av+kuRKMZixnTCPna0AKhv+55M5uDhMimaiccVtnT0XmQVphgIsRJBY3U+Wy4lO9fG9
xUkpRTKoHO5Ad/hMYbmc2HLb4DqYLWMO9NFqiOtOe+R7BQO2jyktiPyvpE7Auc8zoHYEE56do0qt
Ww6/ClkTQBNHuMFjElBlqMRh7lTpZdJ2cMCjXexMoLWEMhsemk1wwcMg8EE4ffUYK7MlruG46PRK
UQSRZXqXJ7XxWDvYisx+ApePSfDikogAGGBv+zJ+Zv166A2hN4aHhp66y9nLYb3P2exvRerFP8qu
+DaLeZtYuXll2NBuc2mo6+Ao+10zzICIShfJQNH2JmndR90lJ6NpdwG21PPIih7w4DFE8gAtcV8a
MGXxU+sJY3qd3CGCoPnk1KSQ0obBciKvn28jz3lN6vawmFg1OhQ95tt7AuzvTSQvqoGrMXPHUnkJ
hLdK5lXeUs6mcVDssg4yItQAJfLlkLtmuiOLMS9bhUNU0TC9N2rZ3bp9Pe9ArDiMKno6Yvyy/bAa
IjHa77tr50URro94rayzlXNcoBPG8MZG8yckkOaWq5ZVyiFcNybx8k1gTTsPRkUQ3krk8KDssXry
MWnsWko2Nvni5qQcludltC6SiUbIOIpjmGWau6XQziUfKbGiKJSwkDFhVhzgBzcLJTpORo8F53n2
rZXEYVeaigeLKraJDWItzrRHDQfcRyJv4zkddbQNcG/2h0RV7aNRW8MPxr81WjpzkinR6lCTLGXS
gGGT46B9kUU0Xxs77m5xL47YoPxRPqnRGy55Ihd2mmRzJNTrfdcKK5zYc4ZeDfYDQ08BQK5J94Gz
eJ8GucMQZ3eB71a42HvM7KwSh312Zwbsf3Pv1XYSsaOFbzkVVeLtnVlQ8lC2ffnQuZkFr8AYdpZo
ml2pA/84U2DxzYgmez8QVPqznIidl+0cAB/ocySZPHmWnO6+zMlGBu1y3V2LxjJ3PTjWs+vX7o0G
g4zRtyynQ0G44t20qpTgF0n0bp5X5Bt2QphzjJxUZubv+FeKPQzS+L4yoMByJCl2YDPy+7HW0Z+T
3Rv3zMvsXa1F8ECQ274H+dEyOLGbYxEZ5Aa9VRbx+vwcpc57DbDvgBURC/ekk68sVj4oKH9+xKjO
hURaTUAlGu3vrc8nN5HIPAERz0OwxuppjZ2BGM95QzWQayubG5AeOO+SReLrYD27MZJfIpQzzFta
3cGWRgz+ajNQdwVDN+79RZM8Mh1QKLiwl3qLP6wJs6qhgoXYk3VKzJnyHysGUJ23QIbZUdGRI8Yt
TFF6Mepy+cxwaZ0I4zOWQNs6ZlNrXFJ7TnbCq6ir9AZ9mZdYnxh/duGv3WtJmP4Iu2v5mAyGxhMj
/McFF91maOZp15qZeg4wW+5rPz5wRM8uiQZvhXJoHxjfDFy7KsLIZ4/WbjEGPhGqniT1l4I07lk2
TflgoLtBXZvkt1ktcFdoqIXG5ABBA1S/NhbQPjTyJIR5MAXUE8d2/ErNkv/kGQZjY+BN9b6WMruD
OZveZtSpg8QItDhVka5V+P8tKf8cdBFkVLBu/NdBl+v3fm2nrbuu/mva5W9f93dDivkHSRJizDyo
bMtxXLIzfzekWH94AluJbxPqdk3wXP+ZtpZ/cIbBkIIdxfVZWIio/D1sbfl/oJlDaufUTxOc5/y3
/Cikd/4p7fKrL064KO4WZ0c3+Ke0iz3Fqg8yqDgLe9XoMBrkyDglxN1DY5HPPgozoih6xdS9M5xi
8NyUdqVB3jvmvF3YVNQckatk2fpVje1/hPZ2QyKkRURl3svJGeT+d0JspbfNXB8MYwNNj8OecCb3
PIq2SMCzL/2JzKkNHzUzqN6x27XXZ1SBOHksg8+lb1X3ne3Gu64bEm6suow+OzrjjvgMrY+8j4Nv
zAhoHfE9LdqwU8XqB5gm9wTuUgL7GWd7P9UECvF5OZ4Im2o03sFIBccgmLsABS9hUWWrqt4jq5me
Yz3UPwWD2/u5YQ3elM0M4qynGe+hnFcG3Bq6vja4yvXqhB0U/TEKDEiG+ETGpc0N4jmcA062EZg/
KdogPaJts3pENITONbdzx96H5BBaWFy6QH8T4T1YusDukDHCnoDwz0UXevaIpThJs+RnYXnVjFm0
wVaSy9R6zoRKykNfj8x2CBsU30mXOK/sdyuOEMrERuN204h3JZumXYrjxj0ZrZzvNAZYtZfNOL8o
YA1vUZnSOhyROn5qpTW9Mj2f0KvGdPwMghrORzfItZmhJJIY15RHhMBXsFno3uMPSf/ilfOj3utC
YzHjl8JBmtl2be5A2xBdQBtFLNkqUNguOcmMwgmj0oOzb3djQLNR3hn8ruSUPPNoKn+2VjLAHovz
hWocNmu8qhF0PxPUB3KRdjPeti0hyl3Rp2yFAplFn1bcri5gG5skZ6Kmv+MiCNqVz6thmWcz8ESO
ZYSJKzS/hXGoQQJi7OGVhWaUYPqczIygQTFkS7OfTObugVs3VNKmGUKz8hJGp3klytcJTJIMqRmi
7WTGMvZUWYl4DQIj/wBj35DTp14UFZLfUb1xVWqvNwGWVohn0fga+W0ysaEReXDtdFYD6uD8+WOc
ysHdRj0wQoo9WuVtSmDAYElQs45eOfXTJcMswkUscBvudYPIH0LvJYmEOQsVi0SUlxwidmpfHl0Y
3q4XzBGHSvlP+ZwzWV3i8R14Vc3MLVbW1ca4u/RO8uXAJt32znCX+WmabRIf2mbRQPVXTIx3mhHb
a1eWGkyVNBxOZEE6s9tjk/HszJAUN6jnGF/bqI7ecS+nry2D2Jsptr5leD7PcvarN2Hp4CFJpzal
qGnWj03RKMb4mWJhwDbFTUKH1INhq1qHCxRHfxsVTg1iT8y4xPj947KqWSI/O5KeAB58fsucH3xi
83iVdLHzzKT5wa4MSFlsMGSjUBHrZ6M0u1M5eHFxKCR7CKoCIJAJNFa1qZoqyBgfr7SySSbmuHNq
QnNgeDNOembs81oLUQC2X3S18rqlS+OCjn1V7Qq23adaBfMLKneUHU3BdC/JK+vRoQgFP+ngqU07
m8rl47TSknOQaE+K/0O5fdm06R7JLHg2E2eRWGCH5msxW2Y5ivlrEMpILH/KlQwXpFr3O5Mp5GtA
IVEEoLY3i3sDJZBrxUncz5qdWHLwW6imuxZlIF8Hpibs5tQnpFiUBb0Tqb/0drQRfeZHPx071dmI
685zepgzZk/EGIfUIotuuLTGELvlNqmKTBCXasyOz2Ebt0WBR1+KiB/E6JO3uiKBHEZJFMVbgROL
M3LgZupiSkIPkM+i4FQ6OPNBKrGScfQvox9CM9UPlT8XYp+DkOecvAwYwwUDTwcEHpTFcCZBD4mt
QaT0Ewe5kIS1YoYTGfXHUno5hBnfRFBN2oXRHXxnjER4H2F5ZE5SvVAQ0jBJdPwBO8KA9rUxijx/
jtO5e/fJz0kKZ9Je4mfo1CtGEvqv/GyZvgaxRjntRpa4j+1ODqg0JJ5CaAac1AIqLplmNHXdsqvP
3fimKCxGrfRAUEll5RabWfKNk3MftTZA2TJyPRjrfWZHDGS0wP1ouOPzhJRAiTA5gpHBLyU0m9iq
qrcFbTE4t4ke+nNi2d2nTiVgA6lLDmDO7CzdQZYt+/kyxYW9LVvLRLu2ag6dTOS7AtXONMk3CA8w
UsbHg61bFjbcwApKOGaFaXgsi379qVEO87CbVOvtpeRH2BRWhUMunu01mWDyXcgQl6XFttqt0drt
yX6rZNshHLbRfKsVMjuxlspAweySmGhhxJk6NMp++aps15pPQ+Nj5gZrWlg7/DgR2S4mp1FFqL6e
UNCh51Jda1BlFSQAT3xKaE4ZVGvmIIs3UBWVC5jaCDJWQRq+QH/rUlmrLXvx+EdmjHm3r2vIZNvu
16TRXKOM1MomxSPXyfSpENO/6xqyQq/JrZca28A+wj366M4B8xFrDSemxH6xkYrI+Zhsi+e20XSy
RRkoJ1qUhtVO0ZsOyl7cRtlrxGGJeBkLCAuQM4mZ/kB/MEM6CsYnTW8EijH6wAPwf0Z5eZMV1R5d
tmR1WoR7BmCtsarqiSNx4SrrIXOH4pEeV0bTLv4+Eigr4hSoDBM5I7M0IqAEz8s7T/qd0XUkVk2q
sFF7h4whW+eN6o0nLb9rh+chYJVopVzVsvep8PO7jHQL5C8zs9v2kE0LQ8m4odh8h2HMv22nrJqd
PVGHa1lXxOX3PR0pJNrMsftGgCx/8WaHMzOia3ocYF5+p9e1hEvVW+K2nh1xBxHNVQdf2Sz4czX3
t4tGZiDd4JoTA3faJOARN4SzKDia+NXUZflW+Vb7BTqO2ky+XbCJoD7Ck4n0cAcwJ0cdH4NXylOp
IdVB3L/mg+X/bP2g+SmN1IKd7/rGvlgykqhjE5u3KWVMF6hkzXNrJGuDF8zh7mwHWbUdlxhRrmOb
W4Uqt+svwpLqJ7wVWnmrCTX8kCZF8UmMh/vBXFI8gBZaLc7HJEq8LaQ4PsH+lz1Se708g+SL9K43
zBZ2l67kW4wsgOGtV92np2EPH2FhlO9+54+wfRRHws5xiEuWlnL+tKgPdnh2BBhWkFeQW/3VG8u5
DbHTpTuVeUFpyW9TIujZcaGkNC/8oXlh2i/A88YCYa2RYxN6oqZr15uN6mfMyuRsiUpPwS0+GSv5
Xkoxn1urcpetXFbIJn3BZBQ64qjU/umgVrBdOqTXbOTIjPnOMX7kk81mLanN4ty4hQXZLmqD+040
9n1D0VQFFh1Q/+KYfbkRwtGfeH7WcUyeeZexW0vwqgB2iZ7pkQeXqd1rM1HKFE7+lO7kKMxkN5hi
TfOMDfVwQV6l0cZdguiC5EHvl5NPxrPTqfbJYVaFG4G7rzmM7ZjeoBRV78odljdWYqqZzXSyjxlW
jT26Rc8vELRRjukbpYWEH2rl2p01uAVGLyOij3M8I555QoC8zlYOpXDdwJAnkiBB479iqIcPz0Ro
+um2qCJT4JbATtk5EfQ0BGDbgeQaPc48mWhwsxkHQIFOuN3MvCe1H1ejf811uiYYbcPQV3iGeAeq
KfckEBfFDH4c1vm9zURuW7CwJly0rMd7H20TPMdg02ORCf2lq/WKkzldCdusn9sncAhGcSOxIMNz
zFgdpc4Z7Ge8Goi9bs2Xy9hRrMiM1WUD0xjnpM6+OwB6vjJb8K0hStF0FdMd698pp6SHAf3ABLsP
Fi9+o/oP7T72IA8elbJNBkram17ZmZXfS/zSzb6zfePRKBvqYiol5M4xEc2T0uFRIYBsM9EAnY83
C0yj3q+RByNsvTJNQmusC4h1U1s+tc6SOPRflIJzFFzMbtc2hf0+kf2DyNEuBIuxr3XzwW4cfdXD
QuLZ6wat4CcMKtkWRBPf58ZUZtiARQBSFU/sXZJlxEBkeV6/Sds11Gq7OT8Y01xIwbpBGwm1K6z7
iJm4v4dIHPjbNkncD5cBgz7YLRbrq0o778GOAjaTWeYEdyScvFues+bdnHvz88LQS7Vsw4G0FNgq
I6YuNI3XAx99SSFeSd9PVyfb9dn5o0RwwWhNCO456OPkKyEp9VwR1BjAixcEA8zRGX/waPbtDZg8
+dA1ZYPCmEAOLhrOjqhZYvhTN+zjUYhStETGKLN5jaVOH9PFxt6zoOaUp3KFgRuxvdDXUJk+1Mdp
WUBVy7bcwvpDVK4wMoGx9tzBC4t4WfwLACpp7n2XwDJrtiHJCtepeedhyazQlJdx540BTAQ3Tic2
G47mnmpVVVEAUffGa99zlN5YMP6pxhvK4ctbLPujG7A1htjDMbgPTLff08CkTM3rzLYDn9tO6twX
1fBk9TW1atKJ0g/guC5RPzhyLlK+j1kK/TRSFwzBnKMNRowJW5oWd0TO4ZASmsme2ST4QBn5yOHj
j+CDvXV/Ywq84N3Q8XCkp3KV+tulng+OK6GFd1CGAjbr3FwRUVD7QpxEGedg4RGOUWBxaB3wJjrl
LOwZQEmLMbs4FRFqlv9F3JQk5awDkw2cjoNEVqvtzPxeYDmhdE50Y3FQabpUp5wPrfq/AMb8vx7r
Wskv/1JD+5/l9+Z//6+/ymd/+5K/w2KCP3wyWRZwQcq1fE8ihP1NPnMd/sgTjnRWoW5Vrv5DPnP+
cIARImWt8hhf4xMs+w/57A9h8ydBgAXdcwX//HfiXFBnmrqY47o6/fj3f3N5YzYincRkiLrnO8GK
kvkLqdA24ioTMU7fPh56fYD3zdJb8dZqTKtqJPFfVRYy2VhzmoT8wlz/L5Lj/e9v9T8qvOL8hb77
93+z+FH+6R2AxWHEbRElcyxLrO/wL++gMWQ05D2JS7fNDAcOCjPa45wr48P2y+gtcXHasFqU1pub
1Wl2sI0uxvNmtxii8V9gcZiFax7UYEBwz7J65JaLZfT5r9/mSmz8x8/JceFvkLCzXJ+6lH96l2Za
5WrGFLhpDTSwHmWTqBBN4P/6u8Ca/Ifv4/E/eHWSerh9Xctm6PqPn0acxnjBYqJOcYfgvpHQkMtN
3Unvzwx4IRvECfCVE1nEhOGgNE9OoKc78mPOM8+mHCuSn0ag6GgqnNmEGx7HAxwx6q7J2eyEXW6O
gA6xfjOnqOBf8NSZE+ea+vEknpyaahGY3AYOAP56Npxiq7bZgddT0p69bDSXF1C6i9hbZEdfpZQQ
dOYYE2Lo5AmB5E6hGv2mC/1u0avNRnkP2sK2w3nVaKvLFPRkglS6imNOBxJg77ew+veY7Ytgi8TW
KOpiBGUmjl3xp9RalPoOds/CHD5eLR4jFGfWTb+SHeedZUI+wXGFvnTuCFxFL1VVTMR6SCr34SyS
6Og5YyBek86hVQvDbj9tPVBj6ZFFuKneGop7llOc42GCy+FA/kjxdFAG4VdEP1B7kvpgUHdFar8G
VH3qCDkBYLf6/MoFC0TQb/xx2iktmQJ1VGgp4I6deCuzGOQP2il1WZm0ERoKn17hLdai7A3diUNS
VgQQ1VONwnLlvEcjAKemBZegXLzbNomNV+BMLP0SYCg9ZpwQcMjMfcetmSFPbyJX8wicVGCyb1ej
1e0FqpF6qWBdkI7WmcD/l4MJD1snM5uX2ONBdTtMGaPTrFfOs9erwtllZWoER5qYTe9ELYTvkgwq
J2sDEKaZP8qFk/UzV3+jt5Xv+99AnIj61EXo0v+HuzPbahvLwvCr5AXEknQ03tRajW1MSCBMSSA3
XmaI5nnW2/Tq636KvFh/R4YUDgldVeaiun1HILJ8LB3t4d/fP0M0LJqFABF1Z9YiP0oiDWyu7zEW
v3QYduM+dTW3OA4UEzYOWOOGgWlMvGHgUb4mCqbhEJwmdkXNqbJ62EI6w+pQmGw5358hQUA20ZY4
iGBgKi512hP+AtSnCpY8otn2iVqdkTC+oyR3XpqH+FAbOCvgZ1oZH62gGvBqwR8XiDuQTnSVoEPh
ljejc77SMv8qJN26pXqglm97RksBTKddf6gSrygnHeSfhsFzv7hifrHtoHHIOA4T0PN4yMI7KzDr
5DDPenGWd/R6SUk8psmdtrwmkyvxQ9Aq60jF4KW/gFPLID30wBWTdG7kqksqElmxgADLJJPI3NI8
HCuVzHrlVAmGebZM/UYsokpZdluBoWPCKa8ZNDPIG9DMVkoWHCBCUk40zKnIBc3eXA+ap3CPhzyQ
sLbQC2NBktMdhmFdA74vNMxMnUEzDgw19ZbESUmP1CPKCVd7ZG9ziN4u7eoa9XipGzrjXHyaaxGb
fUyJdAAoY0YtX2AwxHk4a5VR5wYrQRi8rYKWeQqjZdxyUeVEqTRQ+44ACExNf+SpDYroMEztQ0RO
dY8UsnMo1SCvXu1r8q0wgdXRA6das0KcpeHEOBc94SFRk+ef9/XI4K7I0hblo1t9NELb+4j4c/XV
pwF1ppV10s/GAL+sAygt4qOdmVewyIKbSC2xVQxiCxdBG1HP3INRQP3XQ25O3og4/tDO++AERnBI
R3b0x265EtRz952mUpnk0wogJ2VtNt5BR9/gJkhGoGpJ2IRIFoWtLON6bJlTrAnFFsxEQvmvPJPx
wDquPO+AcgClON8DUb7ADtj+pDkYolB1Scp3cGIqoucOMiyzKXpKXm3kPmapQ5DdAgyv77xGk6RX
v4+ORJWPN0o7BojAyaaWvWjdW7ftGIO14rMVWFo0bq0J+3AV4wZbugqKtd7GgMTNi89U2W70wgvI
bXjkXOvxbQ4H5rzNI//WLrHt7ZTMXzZaLTDvG+u7gRSr2y96RIP7qZopn/QhLq+jtvbdmUC5TKQN
4+y6ozjzzvVGOhF6VnhfQJL1TBeuGgoUotGrG6p4cbzwAcus/aR6TyW4w+CrtLQLRJ7+TY0knMd4
GHwMDNq++Do1FLCcUc+u8kCnjg39sjipuTkBIVQi1r8MVlZbABuYTD3sHATEM/pW0b0V6kk2cyKb
qxefbrQmTBFQ787pHpPaul58OgZBVuyn8GYo/QUivYhAnRYH5arIrrxUt/J53Nnxp7QdTTSn9C2s
OS0breIK9owPnSvyO8EzQ9nvAfrc4R6OHMrKo9Y50nofv+HYqZg5rVXm1DNfUonSWPfUo0TRnPMe
6IX7tlF690ME3dmc6XaO8Znd8lXPoG6ODKsiRyqPhcyJg8TzLKCXLTf1aEHeJ5fUIW90kdMApBz9
8r5JVDo+JgXEq9pQcxpTShGepGEQnja0ERDXKxrGwJ47tp9Rxskt1GnwfVUsQXUlCX3vjAQeRQs1
Z7yph1bVgZDYMYwlp7YJBbO4D88GMVaMPoNtveaiwtR+inQk7xFq40PcB/DxKd7hhx9/+39PHlxh
CXrcT0JAyb18oFSerBMolbP7dbmdPnz/Tw8JhLD3yN50WOJkIgaT9GQJDwmEoe0ZukbuQNxMjuHI
YPGRdg5t0qEl7joao0EuyJrfEwh7zzGhVrq2JVzDMoX4UwkEYel2yMrMvetQitLRdNqWKiyJi3gS
wBt90wLhDDMUNi0WsUDUEuruY1HdwT2F8ER9njaPBvt4hhlXf5MNfX9D1T9at9yn5X6p0dXhek7N
K9HA6xtCStnzMQN6xsC8Pdx5att0FLOsNp4XwWChYJRkXE/DfoOOd2Z8rXVdOxt8N4rf9TTFiN4m
ui5+zauPuKyTklOqRxopJIoXBEsuBTs6AxlN3WrZLBgkudcnwDuBDxhfrwL9uLQk4Vc1Gkl3mMi/
HWVlyu/j0H5sLVsxFxo9ldMx7Np+rkp48DhxhMOJKRwMBPfzVKKGS62SEmUJIAYNmBRzIbHEimox
3AeFjV4P4+c8aJoWiDGd6xhntoltTImEKMjqK72dlf2qPld9W1nrRcGO06KhomWvdfm6qarqNO8J
ZOWmgviLAM+LiKI9jz3FEcN+Xrm1RNe1zTtNrGLzQI2S+pJ+YO0vOzjUGM+nyCQZ2IMgVdHPpHsB
Occ6omONIDPQgvDryNRvN8uheDDqEI3q0RhT7Fgi2QwvgVTbJ36LezYPfoea3KqPU1piGr6NK6xN
r6GWl92+Yzqr6DCwkvBKJ3rE67CGN3zgmYj1Zr628m8LHkrNTFPoR56ltprVxULAmmth0xj0fsyq
88Wakmp8hSDKhVNg9LE314KCUho7XwytQCcEEDMi3ei6aUb9hH4EZSp69gg2OSHwAZE9jva7nAqn
+Z4QurHamW11xBAJTM7osKgY4Cz2EfJWb5PAxSdNxSINep3R5eGBYzFjf6AxTZktM7BE5pKZjupz
RKctW5jIBhcyjPUWdKZtYx5rLi5awN9Ltn0HaDYtH4x95hT1qKHjNBkPpyH6sW7fCDQio8KQMCGH
nP9aRPmANxnCV2RxHSLtE5SnJT2f1CPMrSIgrJi8FjlYN3QN2MLbq7ZbkCvrh3nd9caRFuILdAqt
Me4uubmyT2arqVwLihpnJ61Xx9T2aQ3OgD02swIvxzOZL6JS1KkoYTDAwD2swmZYaq1Wap/SgCcV
LA2szmmutqgmw7LpzgrdEF8Sm6RsDkUPFwEmd/v4qhwZI1zi3sOzcIAaUjGkI8l9QDycL6UR8qxh
QCYPl0TNlESxz/GPbexc8qtVqDXHnhfDBIyNZDgbVEkK9F34AjNcJAEIInVkTmfiCgKlQkxTKUN4
gcSxvKR8juYWHcG1p0su4aptGb0RE69Qk+hCL8FNcV9UAA01tOQ6Y5DF8J6NixkDZnyhH7obEKJM
FAKJRwwVMVyVOu+3oF0LPjGTJEVTQhWV2h76ZTWxFhOJXSSKjZiAad34WExcRiTgyvtyALC3wMWr
+QTcLyVG6ot8ZKYwM4/xVsJ4LQQAFr2tfVWoZyjeRo3t0yybhVL6IB+jQtIijYkcaUiIpDfxJIm5
kHxgUQL7jXJ38TXISc24yyWJMkEejzZkIlRqE60yUNriczcxLFF00RLhOhXvaf0gJB41SbxUusGE
ljaRMA1FVz4wZwPpwEfFf+lM1ExV1bq3QwCJgHfMUUh6krBpTrRNyIoUyCMJ4awmHieFbdicSdfk
H6gfEyV2paR3rlIvOnMnpid3G3zPqOq661ZCP72VeV1qwmOgaMME9SUfNJeoUEZuoYYOE0GU0pCH
3ctEFl3RfY1nhN4QR8OJPqr4kkQqjBoqqYJFyAejMWg49BJbCvYsbBaFoVcfknIo1z6io56HAhkB
TuKAT3tEDPREJA7VhosaAk2zjyMdWOrgI+x6Z08M1XLom4uVy4PvPSaN7tc0ZqxknznI4DLEri6d
IwElmUyjKmaCkMvKo+RSABowW3RU9Gyo7i15HgCNRWJMLOjaQXMupeDRAZRcGvqpwQTtnG0KWl6f
ULvHFodayVxVa9orPKJHQWpaxedR1VJWVpoVPPFVUHm3Y0rbBCEQhomMAqnDAjMIEyTAqvBvSSAH
ZCA6+lIaTw0dVgetb4QElD44ATT7BrIahlw3Jb7/yVjv4aRlIPYMK76JTx+g41O98jL7a380xb2/
PNBDBLjhlN9mDVwbqOce+PStOjKl2C3t5nRGEyL9pQPEcNjr5o7YUgErLqaXyqHiLAXCu/mFKdB0
yhfx2vTavNWTtfnVp3/5gz1Htz8/zta5vwhp/4Of/4djPP387p6rIbFWNWPzMYlcny6DIfaASaNs
dcTm95tQ/W+0DLrtSE78H7kMfr0Mur6HdbrD5qwDn5evZ8ugwasQRPB/12VwHZ3vbsdlEHvkOuRP
cink68erwULNTIfGIaWdXpuF/3tdDdLrardlEOqeipm2Lql9T28GU9sjl3QFv9wsz5/YE/7AGn3f
W2eQ7+6mXTW4Byt8/2j48F//4HHreX6Ahy1FNrSe5LLT38k9dnPk+8lhQv7829atMvEon/zy0aLi
6X9/+HzP3/mn5/T4j4fBfbkub/1h+rTDw1lu8v5/3Jb3Tzd7TMsef9w8FrbO8cl3/uJBEUhn6+rx
QHI9NFW6rf3+8Z75Yny/mF48cLIes/SHI4O92f3I+2t/m4cJ9ZJdeNcTPri/Y+3jNz/z/8Bchkt7
13egjv3t32XAAMXFmtmxxwNu1tyQjhy7vsMyC779c/vL1KdG8K4HPsZhL/W//WvrpGHMvcZJPxkp
eXPH2jTx40LIlWFKRE5n7P4BXpxb+X6j/7WLHQPC7YqcbmpSA7DrWXPc9a+MDXc95fsyXSc3ze32
V0qX+hVW+zzI3tzdvzlap/dBuf0Gm+hk14WRb7DkkuRNuGROsrLe2hqJgXS68a/7Lj9emBK3u/t7
yK1g/WZGblEG6frxeNOVjwTkFfaEC+7aN6drYPjbB5/Co11X6OK+9IJ8a+2JBmS5d9cjX2a3rEyQ
bu1mQpjiFdb81wKcHW+qY77C6s2S50iwfd5Igl7hqzz9pcvUjud9nnHGydbVJyVJr3ELvQyw3vG8
5f6Ybu+8rjBU036FvfelNsuLp/2zyO+7cdnzePAxAf7Zf9uOdeVf3MZ0f377DwAAAP//</cx:binary>
              </cx:geoCache>
            </cx:geography>
          </cx:layoutPr>
        </cx:series>
      </cx:plotAreaRegion>
    </cx:plotArea>
  </cx:chart>
  <cx:spPr>
    <a:solidFill>
      <a:schemeClr val="bg1">
        <a:lumMod val="95000"/>
      </a:schemeClr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75478</xdr:rowOff>
    </xdr:from>
    <xdr:to>
      <xdr:col>6</xdr:col>
      <xdr:colOff>299356</xdr:colOff>
      <xdr:row>27</xdr:row>
      <xdr:rowOff>31216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88C4C03-C05D-4137-8868-A39DACFB1A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0</xdr:row>
      <xdr:rowOff>174650</xdr:rowOff>
    </xdr:from>
    <xdr:to>
      <xdr:col>6</xdr:col>
      <xdr:colOff>299356</xdr:colOff>
      <xdr:row>13</xdr:row>
      <xdr:rowOff>130388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A6BFC88-2C37-4BB2-8268-90998A2B23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448235</xdr:colOff>
      <xdr:row>1</xdr:row>
      <xdr:rowOff>0</xdr:rowOff>
    </xdr:from>
    <xdr:to>
      <xdr:col>10</xdr:col>
      <xdr:colOff>1008529</xdr:colOff>
      <xdr:row>27</xdr:row>
      <xdr:rowOff>44824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D4F1DB91-F957-4DFB-9019-556B40B15A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20635" y="184150"/>
              <a:ext cx="4738594" cy="48327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1361</xdr:colOff>
      <xdr:row>27</xdr:row>
      <xdr:rowOff>172193</xdr:rowOff>
    </xdr:from>
    <xdr:to>
      <xdr:col>3</xdr:col>
      <xdr:colOff>1115785</xdr:colOff>
      <xdr:row>37</xdr:row>
      <xdr:rowOff>163287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7980941-7CBE-477A-9B82-228DA7E6D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1259280</xdr:colOff>
      <xdr:row>27</xdr:row>
      <xdr:rowOff>172193</xdr:rowOff>
    </xdr:from>
    <xdr:to>
      <xdr:col>6</xdr:col>
      <xdr:colOff>1061358</xdr:colOff>
      <xdr:row>37</xdr:row>
      <xdr:rowOff>163287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5757F21-4FB1-4D76-9511-D0DFF32971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1197429</xdr:colOff>
      <xdr:row>27</xdr:row>
      <xdr:rowOff>172193</xdr:rowOff>
    </xdr:from>
    <xdr:to>
      <xdr:col>10</xdr:col>
      <xdr:colOff>979714</xdr:colOff>
      <xdr:row>37</xdr:row>
      <xdr:rowOff>163287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53489FA-9FAC-4DFD-8853-06A7FE3C50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38101</xdr:colOff>
      <xdr:row>1</xdr:row>
      <xdr:rowOff>95248</xdr:rowOff>
    </xdr:from>
    <xdr:to>
      <xdr:col>10</xdr:col>
      <xdr:colOff>489857</xdr:colOff>
      <xdr:row>27</xdr:row>
      <xdr:rowOff>63499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3566713-021E-4182-AB15-D2123FC89B6C}"/>
            </a:ext>
          </a:extLst>
        </xdr:cNvPr>
        <xdr:cNvSpPr txBox="1"/>
      </xdr:nvSpPr>
      <xdr:spPr>
        <a:xfrm>
          <a:off x="645887" y="276677"/>
          <a:ext cx="5921827" cy="46853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/>
            <a:t>-- (Query 1) Receita, leads, conversão e ticket médio mês a mês -- Colunas: mês, leads (#), vendas (#), receita (K,R$), conversão (%), ticket médio(K, R$)</a:t>
          </a:r>
        </a:p>
        <a:p>
          <a:r>
            <a:rPr lang="en-US" sz="1100" b="0"/>
            <a:t>with leads as(</a:t>
          </a:r>
        </a:p>
        <a:p>
          <a:r>
            <a:rPr lang="en-US" sz="1100" b="0"/>
            <a:t>Selec</a:t>
          </a:r>
        </a:p>
        <a:p>
          <a:r>
            <a:rPr lang="en-US" sz="1100" b="0"/>
            <a:t>tdate_trunc('month', visit_page_date)::date as visit_page_month,</a:t>
          </a:r>
        </a:p>
        <a:p>
          <a:r>
            <a:rPr lang="en-US" sz="1100" b="0"/>
            <a:t>count(*) as visit_page_count</a:t>
          </a:r>
        </a:p>
        <a:p>
          <a:r>
            <a:rPr lang="en-US" sz="1100" b="0"/>
            <a:t>From sales.funnel</a:t>
          </a:r>
        </a:p>
        <a:p>
          <a:r>
            <a:rPr lang="en-US" sz="1100" b="0"/>
            <a:t>group by visit_page_month</a:t>
          </a:r>
        </a:p>
        <a:p>
          <a:r>
            <a:rPr lang="en-US" sz="1100" b="0"/>
            <a:t>order by visit_page_month),</a:t>
          </a:r>
        </a:p>
        <a:p>
          <a:r>
            <a:rPr lang="en-US" sz="1100" b="0"/>
            <a:t>payments as (</a:t>
          </a:r>
        </a:p>
        <a:p>
          <a:r>
            <a:rPr lang="en-US" sz="1100" b="0"/>
            <a:t>Select </a:t>
          </a:r>
        </a:p>
        <a:p>
          <a:r>
            <a:rPr lang="en-US" sz="1100" b="0"/>
            <a:t>date_trunc('month', fun.paid_date)::date as paid_month,</a:t>
          </a:r>
        </a:p>
        <a:p>
          <a:r>
            <a:rPr lang="en-US" sz="1100" b="0"/>
            <a:t>count(fun.paid_date) as paid_count,</a:t>
          </a:r>
        </a:p>
        <a:p>
          <a:r>
            <a:rPr lang="en-US" sz="1100" b="0"/>
            <a:t>sum(pro.price * (1+fun.discount)) as receita</a:t>
          </a:r>
        </a:p>
        <a:p>
          <a:r>
            <a:rPr lang="en-US" sz="1100" b="0"/>
            <a:t>from sales.funnel as fun</a:t>
          </a:r>
        </a:p>
        <a:p>
          <a:r>
            <a:rPr lang="en-US" sz="1100" b="0"/>
            <a:t>left join sales.products as pro</a:t>
          </a:r>
        </a:p>
        <a:p>
          <a:r>
            <a:rPr lang="en-US" sz="1100" b="0"/>
            <a:t>on fun.product_id = pro.product_id</a:t>
          </a:r>
        </a:p>
        <a:p>
          <a:r>
            <a:rPr lang="en-US" sz="1100" b="0"/>
            <a:t>where fun.paid_date is not null</a:t>
          </a:r>
        </a:p>
        <a:p>
          <a:r>
            <a:rPr lang="en-US" sz="1100" b="0"/>
            <a:t>group by paid_monthorder by paid_month)</a:t>
          </a:r>
        </a:p>
        <a:p>
          <a:r>
            <a:rPr lang="en-US" sz="1100" b="0"/>
            <a:t>SELECT    leads.visit_page_month AS "mês",   </a:t>
          </a:r>
        </a:p>
        <a:p>
          <a:r>
            <a:rPr lang="en-US" sz="1100" b="0"/>
            <a:t> leads.visit_page_count AS "leads (#)",    payments.paid_count AS "vendas (#)",    ROUND(payments.receita::numeric / 1000, 0) AS "receita (k, R$)",    ROUND(        (payments.paid_count::numeric / NULLIF(leads.visit_page_count, 0)) * 100,        0    )::text || '%' AS "conversão (%)",    ROUND(        (payments.receita::numeric / NULLIF(payments.paid_count, 0) / 1000),        1    ) AS "ticket médio (k, R$)"FROM leadsLEFT JOIN payments    ON leads.visit_page_month = payments.paid_month</a:t>
          </a:r>
        </a:p>
        <a:p>
          <a:r>
            <a:rPr lang="en-US" sz="1100" b="0"/>
            <a:t>ORDER BY leads.visit_page_month;</a:t>
          </a:r>
        </a:p>
      </xdr:txBody>
    </xdr:sp>
    <xdr:clientData/>
  </xdr:twoCellAnchor>
  <xdr:twoCellAnchor>
    <xdr:from>
      <xdr:col>11</xdr:col>
      <xdr:colOff>57150</xdr:colOff>
      <xdr:row>1</xdr:row>
      <xdr:rowOff>123825</xdr:rowOff>
    </xdr:from>
    <xdr:to>
      <xdr:col>17</xdr:col>
      <xdr:colOff>285751</xdr:colOff>
      <xdr:row>19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553070A-26F3-425E-B1E3-F88CBB32060B}"/>
            </a:ext>
          </a:extLst>
        </xdr:cNvPr>
        <xdr:cNvSpPr txBox="1"/>
      </xdr:nvSpPr>
      <xdr:spPr>
        <a:xfrm>
          <a:off x="6792686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/>
            <a:t>--(Query 2) Estados que mais venderam-- Colunas País, Estado e Vendas (#)</a:t>
          </a:r>
        </a:p>
        <a:p>
          <a:r>
            <a:rPr lang="en-US" sz="1100" b="0"/>
            <a:t>select'Brazil' as país, cus.state as estado,count(fun.paid_date) as "vendas (#)"</a:t>
          </a:r>
        </a:p>
        <a:p>
          <a:r>
            <a:rPr lang="en-US" sz="1100" b="0"/>
            <a:t>from sales.funnel as fun</a:t>
          </a:r>
        </a:p>
        <a:p>
          <a:r>
            <a:rPr lang="en-US" sz="1100" b="0"/>
            <a:t>left join sales.customers as cuson fun.customer_id = cus.customer_id</a:t>
          </a:r>
        </a:p>
        <a:p>
          <a:r>
            <a:rPr lang="en-US" sz="1100" b="0"/>
            <a:t>where paid_date between '2021-08-01' and '2021-08-31'</a:t>
          </a:r>
        </a:p>
        <a:p>
          <a:r>
            <a:rPr lang="en-US" sz="1100" b="0"/>
            <a:t>group by país, estado</a:t>
          </a:r>
        </a:p>
        <a:p>
          <a:r>
            <a:rPr lang="en-US" sz="1100" b="0"/>
            <a:t>order by "vendas (#)" desc</a:t>
          </a:r>
        </a:p>
        <a:p>
          <a:r>
            <a:rPr lang="en-US" sz="1100" b="0"/>
            <a:t>limit 5</a:t>
          </a:r>
        </a:p>
      </xdr:txBody>
    </xdr:sp>
    <xdr:clientData/>
  </xdr:twoCellAnchor>
  <xdr:twoCellAnchor>
    <xdr:from>
      <xdr:col>17</xdr:col>
      <xdr:colOff>478972</xdr:colOff>
      <xdr:row>1</xdr:row>
      <xdr:rowOff>123825</xdr:rowOff>
    </xdr:from>
    <xdr:to>
      <xdr:col>24</xdr:col>
      <xdr:colOff>95251</xdr:colOff>
      <xdr:row>19</xdr:row>
      <xdr:rowOff>114300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1A4D350-E21D-4F46-82A0-236CC41D5F54}"/>
            </a:ext>
          </a:extLst>
        </xdr:cNvPr>
        <xdr:cNvSpPr txBox="1"/>
      </xdr:nvSpPr>
      <xdr:spPr>
        <a:xfrm>
          <a:off x="10888436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/>
            <a:t>-- (Query 3) Marcas que mais venderam no mês-- Colunas: Marca, vendas (#)</a:t>
          </a:r>
        </a:p>
        <a:p>
          <a:r>
            <a:rPr lang="en-US" sz="1100" b="0"/>
            <a:t>select</a:t>
          </a:r>
        </a:p>
        <a:p>
          <a:r>
            <a:rPr lang="en-US" sz="1100" b="0"/>
            <a:t>pro.brand as marca,count(fun.paid_date) as "vendas (#)"</a:t>
          </a:r>
        </a:p>
        <a:p>
          <a:r>
            <a:rPr lang="en-US" sz="1100" b="0"/>
            <a:t>from sales.funnel as fun</a:t>
          </a:r>
        </a:p>
        <a:p>
          <a:r>
            <a:rPr lang="en-US" sz="1100" b="0"/>
            <a:t>left join sales.products as pro</a:t>
          </a:r>
        </a:p>
        <a:p>
          <a:r>
            <a:rPr lang="en-US" sz="1100" b="0"/>
            <a:t>on fun.product_id = pro.product_id</a:t>
          </a:r>
        </a:p>
        <a:p>
          <a:r>
            <a:rPr lang="en-US" sz="1100" b="0"/>
            <a:t>where paid_date between '2021-08-01' and '2021-08-31'</a:t>
          </a:r>
        </a:p>
        <a:p>
          <a:r>
            <a:rPr lang="en-US" sz="1100" b="0"/>
            <a:t>group by marca</a:t>
          </a:r>
        </a:p>
        <a:p>
          <a:r>
            <a:rPr lang="en-US" sz="1100" b="0"/>
            <a:t>order by "vendas (#)" desc</a:t>
          </a:r>
        </a:p>
        <a:p>
          <a:r>
            <a:rPr lang="en-US" sz="1100" b="0"/>
            <a:t>limit 5</a:t>
          </a:r>
        </a:p>
      </xdr:txBody>
    </xdr:sp>
    <xdr:clientData/>
  </xdr:twoCellAnchor>
  <xdr:twoCellAnchor>
    <xdr:from>
      <xdr:col>24</xdr:col>
      <xdr:colOff>274865</xdr:colOff>
      <xdr:row>1</xdr:row>
      <xdr:rowOff>123825</xdr:rowOff>
    </xdr:from>
    <xdr:to>
      <xdr:col>30</xdr:col>
      <xdr:colOff>503465</xdr:colOff>
      <xdr:row>19</xdr:row>
      <xdr:rowOff>114300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B0CCFB6-0FFE-4D07-A857-E2431D34FBCC}"/>
            </a:ext>
          </a:extLst>
        </xdr:cNvPr>
        <xdr:cNvSpPr txBox="1"/>
      </xdr:nvSpPr>
      <xdr:spPr>
        <a:xfrm>
          <a:off x="14970579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/>
            <a:t>-- (Query 4) Lojas que mais venderam</a:t>
          </a:r>
        </a:p>
        <a:p>
          <a:r>
            <a:rPr lang="en-US" sz="1100" b="0"/>
            <a:t>-- Colunas: loja, vendas (#)</a:t>
          </a:r>
        </a:p>
        <a:p>
          <a:endParaRPr lang="en-US" sz="1100" b="0"/>
        </a:p>
        <a:p>
          <a:r>
            <a:rPr lang="en-US" sz="1100" b="0"/>
            <a:t>select</a:t>
          </a:r>
        </a:p>
        <a:p>
          <a:r>
            <a:rPr lang="en-US" sz="1100" b="0"/>
            <a:t>sto.store_name as loja,</a:t>
          </a:r>
        </a:p>
        <a:p>
          <a:r>
            <a:rPr lang="en-US" sz="1100" b="0"/>
            <a:t>count(fun.paid_date) as "vendas (#)"</a:t>
          </a:r>
        </a:p>
        <a:p>
          <a:r>
            <a:rPr lang="en-US" sz="1100" b="0"/>
            <a:t>from sales.funnel as fun</a:t>
          </a:r>
        </a:p>
        <a:p>
          <a:r>
            <a:rPr lang="en-US" sz="1100" b="0"/>
            <a:t>left join sales.stores as stoon fun.store_id = sto.store_idwhere paid_date </a:t>
          </a:r>
        </a:p>
        <a:p>
          <a:r>
            <a:rPr lang="en-US" sz="1100" b="0"/>
            <a:t>between '2021-08-01' and '2021-08-31'</a:t>
          </a:r>
        </a:p>
        <a:p>
          <a:r>
            <a:rPr lang="en-US" sz="1100" b="0"/>
            <a:t>group by lojaorder by "vendas (#)" desc</a:t>
          </a:r>
        </a:p>
        <a:p>
          <a:r>
            <a:rPr lang="en-US" sz="1100" b="0"/>
            <a:t>limit 5</a:t>
          </a:r>
        </a:p>
      </xdr:txBody>
    </xdr:sp>
    <xdr:clientData/>
  </xdr:twoCellAnchor>
  <xdr:twoCellAnchor>
    <xdr:from>
      <xdr:col>31</xdr:col>
      <xdr:colOff>84365</xdr:colOff>
      <xdr:row>1</xdr:row>
      <xdr:rowOff>123825</xdr:rowOff>
    </xdr:from>
    <xdr:to>
      <xdr:col>37</xdr:col>
      <xdr:colOff>312965</xdr:colOff>
      <xdr:row>20</xdr:row>
      <xdr:rowOff>63500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E97282A-12D0-45EB-92E3-3A39CF6A421C}"/>
            </a:ext>
          </a:extLst>
        </xdr:cNvPr>
        <xdr:cNvSpPr txBox="1"/>
      </xdr:nvSpPr>
      <xdr:spPr>
        <a:xfrm>
          <a:off x="18925722" y="305254"/>
          <a:ext cx="3875314" cy="33868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5) Dias da semana com maior número de visitas ao site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dia_semana, dia da semana, visitas (#)</a:t>
          </a:r>
        </a:p>
        <a:p>
          <a:endParaRPr lang="pt-BR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extract('dow' from visit_page_date) as dia_semana,casewhen extract('dow' from visit_page_date)=0 then 'domingo'when extract('dow' from visit_page_date)=1 then 'segunda'when extract('dow' from visit_page_date)=2 then 'terça'when extract('dow' from visit_page_date)=3 then 'quarta'when extract('dow' from visit_page_date)=4 then 'quinta'when extract('dow' from visit_page_date)=5 then 'sexta'when extract('dow' from visit_page_date)=6 then 'sabado'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else null end as "dia da semana",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count (*) as "visitas (#)"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sales.funnel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where visit_page_date between '2021-08-01' and '2021-08-31'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dia_semana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dia_semana</a:t>
          </a: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C916E-A1E2-4185-80B4-F277BBE3ABDD}">
  <sheetPr>
    <tabColor rgb="FF1C819E"/>
    <pageSetUpPr fitToPage="1"/>
  </sheetPr>
  <dimension ref="B1:G1"/>
  <sheetViews>
    <sheetView showGridLines="0" tabSelected="1" zoomScale="70" zoomScaleNormal="70" workbookViewId="0">
      <selection activeCell="G1" sqref="G1"/>
    </sheetView>
  </sheetViews>
  <sheetFormatPr defaultRowHeight="14.5" x14ac:dyDescent="0.35"/>
  <cols>
    <col min="1" max="1" width="6.26953125" customWidth="1"/>
    <col min="2" max="2" width="21" style="9" customWidth="1"/>
    <col min="3" max="4" width="21" customWidth="1"/>
    <col min="5" max="5" width="21" style="7" customWidth="1"/>
    <col min="6" max="6" width="21" style="3" customWidth="1"/>
    <col min="7" max="7" width="21" style="5" customWidth="1"/>
    <col min="9" max="9" width="14.26953125" customWidth="1"/>
    <col min="10" max="11" width="15.81640625" customWidth="1"/>
    <col min="13" max="13" width="20" customWidth="1"/>
    <col min="14" max="14" width="11.1796875" customWidth="1"/>
    <col min="16" max="16" width="20" customWidth="1"/>
    <col min="17" max="17" width="11.1796875" customWidth="1"/>
    <col min="19" max="19" width="12.54296875" bestFit="1" customWidth="1"/>
    <col min="20" max="20" width="15.1796875" bestFit="1" customWidth="1"/>
    <col min="21" max="21" width="10" bestFit="1" customWidth="1"/>
  </cols>
  <sheetData/>
  <pageMargins left="0.7" right="0.7" top="0.75" bottom="0.75" header="0.3" footer="0.3"/>
  <pageSetup paperSize="5"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32F22-2A99-4596-8E95-DC3DA04C550C}">
  <sheetPr>
    <tabColor rgb="FFFFBE00"/>
  </sheetPr>
  <dimension ref="B2:U30"/>
  <sheetViews>
    <sheetView showGridLines="0" zoomScale="85" zoomScaleNormal="85" workbookViewId="0">
      <selection activeCell="D20" sqref="D20"/>
    </sheetView>
  </sheetViews>
  <sheetFormatPr defaultRowHeight="14.5" x14ac:dyDescent="0.35"/>
  <cols>
    <col min="2" max="2" width="12" customWidth="1"/>
    <col min="3" max="4" width="10.7265625" customWidth="1"/>
    <col min="5" max="5" width="15.54296875" customWidth="1"/>
    <col min="6" max="6" width="19.81640625" customWidth="1"/>
    <col min="7" max="7" width="17.81640625" customWidth="1"/>
    <col min="8" max="8" width="7.7265625" customWidth="1"/>
    <col min="9" max="11" width="10.7265625" customWidth="1"/>
    <col min="12" max="12" width="7.7265625" customWidth="1"/>
    <col min="13" max="14" width="10.7265625" customWidth="1"/>
    <col min="16" max="16" width="36" bestFit="1" customWidth="1"/>
    <col min="17" max="17" width="10.7265625" customWidth="1"/>
    <col min="19" max="21" width="10.7265625" customWidth="1"/>
  </cols>
  <sheetData>
    <row r="2" spans="2:21" x14ac:dyDescent="0.35">
      <c r="B2" s="12" t="s">
        <v>13</v>
      </c>
      <c r="I2" s="12" t="s">
        <v>14</v>
      </c>
      <c r="M2" s="12" t="s">
        <v>15</v>
      </c>
      <c r="P2" s="12" t="s">
        <v>16</v>
      </c>
      <c r="S2" s="12" t="s">
        <v>17</v>
      </c>
    </row>
    <row r="3" spans="2:21" x14ac:dyDescent="0.35">
      <c r="B3" s="8" t="s">
        <v>0</v>
      </c>
      <c r="C3" s="1" t="s">
        <v>1</v>
      </c>
      <c r="D3" s="1" t="s">
        <v>2</v>
      </c>
      <c r="E3" s="6" t="s">
        <v>3</v>
      </c>
      <c r="F3" s="2" t="s">
        <v>4</v>
      </c>
      <c r="G3" s="4" t="s">
        <v>5</v>
      </c>
      <c r="I3" s="1" t="s">
        <v>7</v>
      </c>
      <c r="J3" s="1" t="s">
        <v>6</v>
      </c>
      <c r="K3" s="1" t="s">
        <v>2</v>
      </c>
      <c r="M3" s="1" t="s">
        <v>8</v>
      </c>
      <c r="N3" s="1" t="s">
        <v>2</v>
      </c>
      <c r="P3" s="1" t="s">
        <v>9</v>
      </c>
      <c r="Q3" s="1" t="s">
        <v>2</v>
      </c>
      <c r="S3" s="1" t="s">
        <v>10</v>
      </c>
      <c r="T3" s="1" t="s">
        <v>11</v>
      </c>
      <c r="U3" s="1" t="s">
        <v>12</v>
      </c>
    </row>
    <row r="4" spans="2:21" x14ac:dyDescent="0.35">
      <c r="B4" s="8">
        <v>44075</v>
      </c>
      <c r="C4" s="6">
        <v>26</v>
      </c>
      <c r="D4" s="6">
        <v>5</v>
      </c>
      <c r="E4" s="6">
        <v>259</v>
      </c>
      <c r="F4" s="2">
        <v>0.19</v>
      </c>
      <c r="G4" s="4">
        <v>51.9</v>
      </c>
      <c r="I4" s="1" t="s">
        <v>18</v>
      </c>
      <c r="J4" s="1" t="s">
        <v>19</v>
      </c>
      <c r="K4" s="1">
        <v>734</v>
      </c>
      <c r="M4" s="1" t="s">
        <v>24</v>
      </c>
      <c r="N4" s="1">
        <v>248</v>
      </c>
      <c r="P4" s="1" t="s">
        <v>29</v>
      </c>
      <c r="Q4" s="1">
        <v>18</v>
      </c>
      <c r="S4" s="1">
        <v>0</v>
      </c>
      <c r="T4" s="1" t="s">
        <v>34</v>
      </c>
      <c r="U4" s="1">
        <v>67</v>
      </c>
    </row>
    <row r="5" spans="2:21" x14ac:dyDescent="0.35">
      <c r="B5" s="8">
        <v>44105</v>
      </c>
      <c r="C5" s="6">
        <v>931</v>
      </c>
      <c r="D5" s="6">
        <v>35</v>
      </c>
      <c r="E5" s="6">
        <v>1676</v>
      </c>
      <c r="F5" s="2">
        <v>0.04</v>
      </c>
      <c r="G5" s="4">
        <v>47.9</v>
      </c>
      <c r="I5" s="1" t="s">
        <v>18</v>
      </c>
      <c r="J5" s="1" t="s">
        <v>20</v>
      </c>
      <c r="K5" s="1">
        <v>142</v>
      </c>
      <c r="M5" s="1" t="s">
        <v>25</v>
      </c>
      <c r="N5" s="1">
        <v>237</v>
      </c>
      <c r="P5" s="1" t="s">
        <v>30</v>
      </c>
      <c r="Q5" s="1">
        <v>15</v>
      </c>
      <c r="S5" s="1">
        <v>1</v>
      </c>
      <c r="T5" s="1" t="s">
        <v>35</v>
      </c>
      <c r="U5" s="1">
        <v>1301</v>
      </c>
    </row>
    <row r="6" spans="2:21" x14ac:dyDescent="0.35">
      <c r="B6" s="8">
        <v>44136</v>
      </c>
      <c r="C6" s="6">
        <v>1207</v>
      </c>
      <c r="D6" s="6">
        <v>44</v>
      </c>
      <c r="E6" s="6">
        <v>2279</v>
      </c>
      <c r="F6" s="2">
        <v>0.04</v>
      </c>
      <c r="G6" s="4">
        <v>51.8</v>
      </c>
      <c r="I6" s="1" t="s">
        <v>18</v>
      </c>
      <c r="J6" s="1" t="s">
        <v>21</v>
      </c>
      <c r="K6" s="1">
        <v>110</v>
      </c>
      <c r="M6" s="1" t="s">
        <v>26</v>
      </c>
      <c r="N6" s="1">
        <v>193</v>
      </c>
      <c r="P6" s="1" t="s">
        <v>31</v>
      </c>
      <c r="Q6" s="1">
        <v>10</v>
      </c>
      <c r="S6" s="1">
        <v>2</v>
      </c>
      <c r="T6" s="1" t="s">
        <v>36</v>
      </c>
      <c r="U6" s="1">
        <v>1238</v>
      </c>
    </row>
    <row r="7" spans="2:21" x14ac:dyDescent="0.35">
      <c r="B7" s="8">
        <v>44166</v>
      </c>
      <c r="C7" s="6">
        <v>1008</v>
      </c>
      <c r="D7" s="6">
        <v>33</v>
      </c>
      <c r="E7" s="6">
        <v>2603</v>
      </c>
      <c r="F7" s="2">
        <v>0.03</v>
      </c>
      <c r="G7" s="4">
        <v>78.900000000000006</v>
      </c>
      <c r="I7" s="1" t="s">
        <v>18</v>
      </c>
      <c r="J7" s="1" t="s">
        <v>22</v>
      </c>
      <c r="K7" s="1">
        <v>98</v>
      </c>
      <c r="M7" s="1" t="s">
        <v>27</v>
      </c>
      <c r="N7" s="1">
        <v>136</v>
      </c>
      <c r="P7" s="1" t="s">
        <v>32</v>
      </c>
      <c r="Q7" s="1">
        <v>10</v>
      </c>
      <c r="S7" s="1">
        <v>3</v>
      </c>
      <c r="T7" s="1" t="s">
        <v>37</v>
      </c>
      <c r="U7" s="1">
        <v>1038</v>
      </c>
    </row>
    <row r="8" spans="2:21" x14ac:dyDescent="0.35">
      <c r="B8" s="8">
        <v>44197</v>
      </c>
      <c r="C8" s="6">
        <v>1058</v>
      </c>
      <c r="D8" s="6">
        <v>32</v>
      </c>
      <c r="E8" s="6">
        <v>2297</v>
      </c>
      <c r="F8" s="2">
        <v>0.03</v>
      </c>
      <c r="G8" s="4">
        <v>71.8</v>
      </c>
      <c r="I8" s="1" t="s">
        <v>18</v>
      </c>
      <c r="J8" s="1" t="s">
        <v>23</v>
      </c>
      <c r="K8" s="1">
        <v>66</v>
      </c>
      <c r="M8" s="1" t="s">
        <v>28</v>
      </c>
      <c r="N8" s="1">
        <v>108</v>
      </c>
      <c r="P8" s="1" t="s">
        <v>33</v>
      </c>
      <c r="Q8" s="1">
        <v>10</v>
      </c>
      <c r="S8" s="1">
        <v>4</v>
      </c>
      <c r="T8" s="1" t="s">
        <v>38</v>
      </c>
      <c r="U8" s="1">
        <v>1076</v>
      </c>
    </row>
    <row r="9" spans="2:21" x14ac:dyDescent="0.35">
      <c r="B9" s="8">
        <v>44228</v>
      </c>
      <c r="C9" s="6">
        <v>1300</v>
      </c>
      <c r="D9" s="6">
        <v>68</v>
      </c>
      <c r="E9" s="6">
        <v>3631</v>
      </c>
      <c r="F9" s="2">
        <v>0.05</v>
      </c>
      <c r="G9" s="4">
        <v>53.4</v>
      </c>
      <c r="S9" s="1">
        <v>5</v>
      </c>
      <c r="T9" s="1" t="s">
        <v>39</v>
      </c>
      <c r="U9" s="1">
        <v>956</v>
      </c>
    </row>
    <row r="10" spans="2:21" x14ac:dyDescent="0.35">
      <c r="B10" s="8">
        <v>44256</v>
      </c>
      <c r="C10" s="6">
        <v>1932</v>
      </c>
      <c r="D10" s="6">
        <v>119</v>
      </c>
      <c r="E10" s="6">
        <v>7911</v>
      </c>
      <c r="F10" s="2">
        <v>0.06</v>
      </c>
      <c r="G10" s="4">
        <v>66.5</v>
      </c>
      <c r="S10" s="1">
        <v>6</v>
      </c>
      <c r="T10" s="1" t="s">
        <v>40</v>
      </c>
      <c r="U10" s="1">
        <v>677</v>
      </c>
    </row>
    <row r="11" spans="2:21" x14ac:dyDescent="0.35">
      <c r="B11" s="8">
        <v>44287</v>
      </c>
      <c r="C11" s="6">
        <v>2376</v>
      </c>
      <c r="D11" s="6">
        <v>142</v>
      </c>
      <c r="E11" s="6">
        <v>7478</v>
      </c>
      <c r="F11" s="2">
        <v>0.06</v>
      </c>
      <c r="G11" s="4">
        <v>52.7</v>
      </c>
    </row>
    <row r="12" spans="2:21" x14ac:dyDescent="0.35">
      <c r="B12" s="8">
        <v>44317</v>
      </c>
      <c r="C12" s="6">
        <v>3819</v>
      </c>
      <c r="D12" s="6">
        <v>394</v>
      </c>
      <c r="E12" s="6">
        <v>21508</v>
      </c>
      <c r="F12" s="2">
        <v>0.1</v>
      </c>
      <c r="G12" s="4">
        <v>54.6</v>
      </c>
    </row>
    <row r="13" spans="2:21" x14ac:dyDescent="0.35">
      <c r="B13" s="8">
        <v>44348</v>
      </c>
      <c r="C13" s="6">
        <v>4440</v>
      </c>
      <c r="D13" s="6">
        <v>589</v>
      </c>
      <c r="E13" s="6">
        <v>33179</v>
      </c>
      <c r="F13" s="2">
        <v>0.13</v>
      </c>
      <c r="G13" s="4">
        <v>56.3</v>
      </c>
    </row>
    <row r="14" spans="2:21" x14ac:dyDescent="0.35">
      <c r="B14" s="8">
        <v>44378</v>
      </c>
      <c r="C14" s="6">
        <v>6130</v>
      </c>
      <c r="D14" s="6">
        <v>1073</v>
      </c>
      <c r="E14" s="6">
        <v>58988</v>
      </c>
      <c r="F14" s="2">
        <v>0.18</v>
      </c>
      <c r="G14" s="4">
        <v>55</v>
      </c>
    </row>
    <row r="15" spans="2:21" x14ac:dyDescent="0.35">
      <c r="B15" s="8">
        <v>44409</v>
      </c>
      <c r="C15" s="6">
        <v>6353</v>
      </c>
      <c r="D15" s="6">
        <v>1254</v>
      </c>
      <c r="E15" s="6">
        <v>68274</v>
      </c>
      <c r="F15" s="2">
        <v>0.2</v>
      </c>
      <c r="G15" s="4">
        <v>54.4</v>
      </c>
    </row>
    <row r="29" spans="3:14" x14ac:dyDescent="0.35">
      <c r="C29" s="10">
        <v>44075</v>
      </c>
      <c r="D29" s="10">
        <f>EDATE(C29,1)</f>
        <v>44105</v>
      </c>
      <c r="E29" s="10">
        <f t="shared" ref="E29:L29" si="0">EDATE(D29,1)</f>
        <v>44136</v>
      </c>
      <c r="F29" s="10">
        <f t="shared" si="0"/>
        <v>44166</v>
      </c>
      <c r="G29" s="10">
        <f t="shared" si="0"/>
        <v>44197</v>
      </c>
      <c r="H29" s="10">
        <f t="shared" si="0"/>
        <v>44228</v>
      </c>
      <c r="I29" s="10">
        <f t="shared" si="0"/>
        <v>44256</v>
      </c>
      <c r="J29" s="10">
        <f t="shared" si="0"/>
        <v>44287</v>
      </c>
      <c r="K29" s="10">
        <f t="shared" si="0"/>
        <v>44317</v>
      </c>
      <c r="L29" s="10">
        <f t="shared" si="0"/>
        <v>44348</v>
      </c>
      <c r="M29" s="10">
        <f t="shared" ref="M29:N29" si="1">EDATE(L29,1)</f>
        <v>44378</v>
      </c>
      <c r="N29" s="10">
        <f t="shared" si="1"/>
        <v>44409</v>
      </c>
    </row>
    <row r="30" spans="3:14" x14ac:dyDescent="0.35"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</row>
  </sheetData>
  <phoneticPr fontId="4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3CE6C-C51E-4BD1-9444-EF514F8C452A}">
  <sheetPr>
    <tabColor rgb="FF404040"/>
  </sheetPr>
  <dimension ref="A1"/>
  <sheetViews>
    <sheetView showGridLines="0" zoomScale="43" zoomScaleNormal="43" workbookViewId="0">
      <selection activeCell="AD23" sqref="AD23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Resultados</vt:lpstr>
      <vt:lpstr>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Midori Toyota</dc:creator>
  <cp:lastModifiedBy>Rebecca Sulamita Oliveira Correa</cp:lastModifiedBy>
  <cp:lastPrinted>2021-12-25T02:20:17Z</cp:lastPrinted>
  <dcterms:created xsi:type="dcterms:W3CDTF">2015-06-05T18:17:20Z</dcterms:created>
  <dcterms:modified xsi:type="dcterms:W3CDTF">2026-03-02T18:54:24Z</dcterms:modified>
</cp:coreProperties>
</file>